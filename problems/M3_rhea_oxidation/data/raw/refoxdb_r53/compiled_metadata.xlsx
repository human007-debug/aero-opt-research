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swatmishra/Downloads/"/>
    </mc:Choice>
  </mc:AlternateContent>
  <xr:revisionPtr revIDLastSave="0" documentId="13_ncr:1_{7982642E-ED7F-DF42-84C3-C52B285BA368}" xr6:coauthVersionLast="47" xr6:coauthVersionMax="47" xr10:uidLastSave="{00000000-0000-0000-0000-000000000000}"/>
  <bookViews>
    <workbookView xWindow="0" yWindow="600" windowWidth="26240" windowHeight="147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40" i="1"/>
  <c r="AE41" i="1"/>
  <c r="AE42" i="1"/>
  <c r="AE43" i="1"/>
  <c r="AE2" i="1"/>
</calcChain>
</file>

<file path=xl/sharedStrings.xml><?xml version="1.0" encoding="utf-8"?>
<sst xmlns="http://schemas.openxmlformats.org/spreadsheetml/2006/main" count="4733" uniqueCount="800">
  <si>
    <t>Chemical_Formula</t>
  </si>
  <si>
    <t>Ref_ID</t>
  </si>
  <si>
    <t>Formula_ID</t>
  </si>
  <si>
    <t>Temp</t>
  </si>
  <si>
    <t>MassGain_Unit</t>
  </si>
  <si>
    <t>Time_Unit</t>
  </si>
  <si>
    <t>p_O2</t>
  </si>
  <si>
    <t>p_O2_Unit</t>
  </si>
  <si>
    <t>Oxides_Formed</t>
  </si>
  <si>
    <t>Phases_Present</t>
  </si>
  <si>
    <t>Experiment_Method</t>
  </si>
  <si>
    <t>Surface_Preparation</t>
  </si>
  <si>
    <t>Fabrication_Method</t>
  </si>
  <si>
    <t>Heat_Treatment</t>
  </si>
  <si>
    <t>Ref</t>
  </si>
  <si>
    <t>Year_Publish</t>
  </si>
  <si>
    <t>W1.0</t>
  </si>
  <si>
    <t>wt%</t>
  </si>
  <si>
    <t>mg/cm**2</t>
  </si>
  <si>
    <t>s</t>
  </si>
  <si>
    <t>mmHg</t>
  </si>
  <si>
    <t>Continuous</t>
  </si>
  <si>
    <t>Polished (120-mesh Alundum abrasive paper)</t>
  </si>
  <si>
    <t>https://doi.org/10.1149/1.2430238</t>
  </si>
  <si>
    <t>1Fig.1_W_700C_760mmHg</t>
  </si>
  <si>
    <t>1Fig.1_W_800C_760mmHg</t>
  </si>
  <si>
    <t>1Fig.2_W_900C_760mmHg</t>
  </si>
  <si>
    <t>1Fig.2_W_1000C_760mmHg</t>
  </si>
  <si>
    <t>Hf1.0</t>
  </si>
  <si>
    <t>ug/cm**2</t>
  </si>
  <si>
    <t>Polished (4/0 fineness)</t>
  </si>
  <si>
    <t>https://doi.org/10.1016/0001-6160(57)90045-7</t>
  </si>
  <si>
    <t>2Fig.1_Hf_350C_760mmHg</t>
  </si>
  <si>
    <t>2Fig.1_Hf_470C_760mmHg</t>
  </si>
  <si>
    <t>2Fig.1_Hf_600C_760mmHg</t>
  </si>
  <si>
    <t>2Fig.1_Hf_710C_760mmHg</t>
  </si>
  <si>
    <t>2Fig.1_Hf_800C_760mmHg</t>
  </si>
  <si>
    <t>min</t>
  </si>
  <si>
    <t>Torr</t>
  </si>
  <si>
    <t>2Fig.3_Hf_900C_760Torr</t>
  </si>
  <si>
    <t>2Fig.3_Hf_1000C_760Torr</t>
  </si>
  <si>
    <t>2Fig.4_Hf_1050C_760Torr</t>
  </si>
  <si>
    <t>2Fig.4_Hf_1100C_760Torr</t>
  </si>
  <si>
    <t>2Fig.3_Hf_1200C_760Torr</t>
  </si>
  <si>
    <t>Nb1.0</t>
  </si>
  <si>
    <t>Electropolished + Vacuum Annealed</t>
  </si>
  <si>
    <t>https://doi.org/10.1016/0001-6160(69)90139-4</t>
  </si>
  <si>
    <t>3Fig.1_Nb_560C_420Torr</t>
  </si>
  <si>
    <t>3Fig.1_Nb_600C_420Torr</t>
  </si>
  <si>
    <t>3Fig.1_Nb_625C_420Torr</t>
  </si>
  <si>
    <t>3Fig.1_Nb_650C_420Torr</t>
  </si>
  <si>
    <t>3Fig.1_Nb_750C_420Torr</t>
  </si>
  <si>
    <t>3Fig.1_Nb_825C_420Torr</t>
  </si>
  <si>
    <t>3Fig.1_Nb_925C_420Torr</t>
  </si>
  <si>
    <t>Ti1.0</t>
  </si>
  <si>
    <t>atm</t>
  </si>
  <si>
    <t>Polished (Alumina)</t>
  </si>
  <si>
    <t>https://doi.org/10.1016/0022-5088(61)90001-7</t>
  </si>
  <si>
    <t>4Fig.1_Ti_800C_1atm</t>
  </si>
  <si>
    <t>4Fig.1_Ti_850C_1atm</t>
  </si>
  <si>
    <t>4Fig.1_Ti_900C_1atm</t>
  </si>
  <si>
    <t>4Fig.1_Ti_950C_1atm</t>
  </si>
  <si>
    <t>4Fig.1_Ti_1000C_1atm</t>
  </si>
  <si>
    <t>4Fig.1_Ti_1100C_1atm</t>
  </si>
  <si>
    <t>4Fig.1_Ti_1200C_1atm</t>
  </si>
  <si>
    <t>Polished (Emerycloth + Alumina)</t>
  </si>
  <si>
    <t>http://actachemscand.dk/pdf/acta_vol_12_p0239-0266.pdf</t>
  </si>
  <si>
    <t>5Fig.9_Ti_303C_0.0001mmHg</t>
  </si>
  <si>
    <t>5Fig.9_Ti_403C_0.0001mmHg</t>
  </si>
  <si>
    <t>5Fig.9_Ti_511C_0.0001mmHg</t>
  </si>
  <si>
    <t>5Fig.1_Ti_590C_0.0001mmHg</t>
  </si>
  <si>
    <t>5Fig.1_Ti_667C_0.0001mmHg</t>
  </si>
  <si>
    <t>5Fig.1_Ti_707C_0.0001mmHg</t>
  </si>
  <si>
    <t>5Fig.1_Ti_767C_0.0001mmHg</t>
  </si>
  <si>
    <t>5Fig.1_Ti_812C_0.0001mmHg</t>
  </si>
  <si>
    <t>5Fig.1_Ti_905C_0.0001mmHg</t>
  </si>
  <si>
    <t>http://actachemscand.org/pdf/acta_vol_12_p0239-0266.pdf</t>
  </si>
  <si>
    <t>5Fig.1_Ti_995C_0.0001mmHg</t>
  </si>
  <si>
    <t>V1.0</t>
  </si>
  <si>
    <t>g/cm**2</t>
  </si>
  <si>
    <t>600-grit Silicon-Carbide</t>
  </si>
  <si>
    <t>https://doi-org.ezproxy.lib.purdue.edu/10.1007/BF01151591</t>
  </si>
  <si>
    <t>6Fig.3_V_700C_160mmHg</t>
  </si>
  <si>
    <t>6Fig.3_V_800C_160mmHg</t>
  </si>
  <si>
    <t>6Fig.3_V_900C_160mmHg</t>
  </si>
  <si>
    <t>6Fig.3_V_1000C_160mmHg</t>
  </si>
  <si>
    <t>Ultrasonic Cleaning (alcohol) + Vacuum Annealed</t>
  </si>
  <si>
    <t>https://doi.org/10.1016/0022-5088(83)90495-2</t>
  </si>
  <si>
    <t>7Fig.1_V_450C_760Torr</t>
  </si>
  <si>
    <t>7Fig.1_V_500C_760Torr</t>
  </si>
  <si>
    <t>7Fig.1_V_550C_760Torr</t>
  </si>
  <si>
    <t>7Fig.1_V_600C_760Torr</t>
  </si>
  <si>
    <t>7Fig.2_V_650C_7.6Torr</t>
  </si>
  <si>
    <t>7Fig.2_V_750C_7.6Torr</t>
  </si>
  <si>
    <t>Cr1.0</t>
  </si>
  <si>
    <t>hr</t>
  </si>
  <si>
    <t>Pa</t>
  </si>
  <si>
    <t>Thermal Etching in High Vacuum</t>
  </si>
  <si>
    <t>https://doi-org.ezproxy.lib.purdue.edu/10.1149/1.2129481</t>
  </si>
  <si>
    <t>8Fig.9_Cr_800C_130Pa</t>
  </si>
  <si>
    <t>8Fig.9_Cr_900C_130Pa</t>
  </si>
  <si>
    <t>8Fig.10_Cr_950C_0.07Pa</t>
  </si>
  <si>
    <t>8Fig.9_Cr_1000C_130Pa</t>
  </si>
  <si>
    <t>8Fig.9_Cr_1075C_130Pa</t>
  </si>
  <si>
    <t>cmHg</t>
  </si>
  <si>
    <t>Polished (4/0 polishing paper)</t>
  </si>
  <si>
    <t>https://doi.org/10.1149/1.2428576</t>
  </si>
  <si>
    <t>9Fig.1_Cr_700C_7.6cmHg</t>
  </si>
  <si>
    <t>9Fig.1_Cr_750C_7.6cmHg</t>
  </si>
  <si>
    <t>9Fig.1_Cr_850C_7.6cmHg</t>
  </si>
  <si>
    <t>9Fig.2_Cr_1050C_7.6cmHg</t>
  </si>
  <si>
    <t>9Fig.2_Cr_1100C_7.6cmHg</t>
  </si>
  <si>
    <t>Zr1.0</t>
  </si>
  <si>
    <t>Chemically Polished + Annealed</t>
  </si>
  <si>
    <t>https://doi.org/10.1149/1.2426184</t>
  </si>
  <si>
    <t>10Fig.2_Zr_400C_10cmHg</t>
  </si>
  <si>
    <t>10Fig.2_Zr_450C_10cmHg</t>
  </si>
  <si>
    <t>10Fig.2_Zr_500C_10cmHg</t>
  </si>
  <si>
    <t>10Fig.2_Zr_550C_10cmHg</t>
  </si>
  <si>
    <t>10Fig.2_Zr_600C_10cmHg</t>
  </si>
  <si>
    <t>Mo1.0</t>
  </si>
  <si>
    <t>https://doi.org/10.1149/1.2425918</t>
  </si>
  <si>
    <t>13Fig.4_Mo_550C_76Torr</t>
  </si>
  <si>
    <t>13Fig.4_Mo_600C_76Torr</t>
  </si>
  <si>
    <t>13Fig.4_Mo_650C_76Torr</t>
  </si>
  <si>
    <t>13Fig.4_Mo_700C_76Torr</t>
  </si>
  <si>
    <t>13Fig.4_Mo_800C_76Torr</t>
  </si>
  <si>
    <t>13Fig.4_Mo_1000C_76Torr</t>
  </si>
  <si>
    <t>13Fig.5_Mo_1100C_76Torr</t>
  </si>
  <si>
    <t>13Fig.5_Mo_1200C_76Torr</t>
  </si>
  <si>
    <t>13Fig.5_Mo_1400C_76Torr</t>
  </si>
  <si>
    <t>Ta1.0</t>
  </si>
  <si>
    <t>kg/m**2</t>
  </si>
  <si>
    <t>https://doi.org/10.1007/BF01046896</t>
  </si>
  <si>
    <t>14Fig.1_Ta_600C_160mmHg</t>
  </si>
  <si>
    <t>14Fig.1_Ta_700C_160mmHg</t>
  </si>
  <si>
    <t>14Fig.1_Ta_800C_160mmHg</t>
  </si>
  <si>
    <t>14Fig.9_Ta_900C_160mmHg</t>
  </si>
  <si>
    <t>14Fig.9_Ta_1000C_160mmHg</t>
  </si>
  <si>
    <t>Polished (4/0)</t>
  </si>
  <si>
    <t>https://doi.org/10.1149/1.2427787</t>
  </si>
  <si>
    <t>15Fig.1_W_500C_0.1atm</t>
  </si>
  <si>
    <t>15Fig.1_W_550C_0.1atm</t>
  </si>
  <si>
    <t>15Fig.1_W_600C_0.1atm</t>
  </si>
  <si>
    <t>15Fig.2_W_650C_0.1atm</t>
  </si>
  <si>
    <t>15Fig.2_W_750C_0.1atm</t>
  </si>
  <si>
    <t>15Fig.3_W_850C_0.1atm</t>
  </si>
  <si>
    <t>15Fig.3_W_950C_0.1atm</t>
  </si>
  <si>
    <t>15Fig.4_W_1050C_0.1atm</t>
  </si>
  <si>
    <t>15Fig.4_W_1100C_0.1atm</t>
  </si>
  <si>
    <t>Polished (Al2O3)</t>
  </si>
  <si>
    <t>https://doi.org/10.1016/0022-5088(67)90006-9</t>
  </si>
  <si>
    <t>16Fig.2_Hf_1300C_0.0005Torr</t>
  </si>
  <si>
    <t>16Fig.2_Hf_1400C_0.0005Torr</t>
  </si>
  <si>
    <t>16Fig.2_Hf_1500C_0.0005Torr</t>
  </si>
  <si>
    <t>16Fig.2_Hf_1600C_0.0005Torr</t>
  </si>
  <si>
    <t>Polished (Alumina) + Recrystalized</t>
  </si>
  <si>
    <t>https://doi.org/10.1016/0022-5088(64)90022-0</t>
  </si>
  <si>
    <t>18Fig.6_Ta_1300C_0.1Torr</t>
  </si>
  <si>
    <t>18Fig.6_Ta_1400C_0.1Torr</t>
  </si>
  <si>
    <t>18Fig.6_Ta_1500C_0.1Torr</t>
  </si>
  <si>
    <t>18Fig.6_Ta_1600C_0.1Torr</t>
  </si>
  <si>
    <t>18Fig.6_Ta_1700C_0.1Torr</t>
  </si>
  <si>
    <t>Chemically Polished</t>
  </si>
  <si>
    <t>https://doi.org/10.1007/BF01052024</t>
  </si>
  <si>
    <t>19Fig.1_Zr_700C_160mmHg</t>
  </si>
  <si>
    <t>19Fig.1_Zr_800C_160mmHg</t>
  </si>
  <si>
    <t>19Fig.1_Zr_900C_160mmHg</t>
  </si>
  <si>
    <t>19Fig.2a_Zr_1000C_160mmHg</t>
  </si>
  <si>
    <t>19Fig.2b_Zr_1100C_160mmHg</t>
  </si>
  <si>
    <t>19Fig.2b_Zr_1200C_160mmHg</t>
  </si>
  <si>
    <t>19Fig.2b_Zr_1300C_160mmHg</t>
  </si>
  <si>
    <t>Polished (4/0 metallographic paper)</t>
  </si>
  <si>
    <t>https://doi.org/10.2172/4409909</t>
  </si>
  <si>
    <t>24Fig.16_Nb_1000C_160mmHg</t>
  </si>
  <si>
    <t>Nb25.0 Ti25.0 Zr25.0 Cr25.0</t>
  </si>
  <si>
    <t>at%</t>
  </si>
  <si>
    <t>Polished (600-grit)</t>
  </si>
  <si>
    <t xml:space="preserve">https://doi.org/10.1016/j.jallcom.2017.09.164   </t>
  </si>
  <si>
    <t>25Fig.2_Nb25.0-Ti25.0-Zr25.0-Cr25.0_1000C_160mmHg</t>
  </si>
  <si>
    <t>Nb25.0 Ti25.0 Zr25.0 V25.0</t>
  </si>
  <si>
    <t>https://doi.org/10.1016/j.jallcom.2017.09.164</t>
  </si>
  <si>
    <t>25Fig.2_Nb25.0-Ti25.0-Zr25.0-V25.0_1000C_160mmHg</t>
  </si>
  <si>
    <t>Al9.2 Cr5.7 Hf0.5 Mo1.3 Nb47.0 Ti25.9 V9.6 W0.8</t>
  </si>
  <si>
    <t>TiO2 + Nb9VO25 + CrVNbO6 + TiNb2O7</t>
  </si>
  <si>
    <t>BCC</t>
  </si>
  <si>
    <t>Annealed</t>
  </si>
  <si>
    <t>https://doi.org/10.1016/j.ijrmhm.2015.08.012</t>
  </si>
  <si>
    <t>27Fig.1_Al9.2-Cr5.7-Hf0.5-Mo1.3-Nb47.0-Ti25.9-V9.6-W0.8_800C_160mmHg</t>
  </si>
  <si>
    <t>TiO2 + TiNb2O7</t>
  </si>
  <si>
    <t>27Fig.1_Al9.2-Cr5.7-Hf0.5-Mo1.3-Nb47.0-Ti25.9-V9.6-W0.8_1100C_160mmHg</t>
  </si>
  <si>
    <t>CrVNbO6 + TiNb2O8</t>
  </si>
  <si>
    <t>27Fig.1_Al9.2-Cr5.7-Hf0.5-Mo1.3-Nb47.0-Ti25.9-V9.6-W0.8_1200C_160mmHg</t>
  </si>
  <si>
    <t>Nb17.68 Cr16.95 Mo17.14 Al6.96 Ti18.26 V17.32 Si5.69</t>
  </si>
  <si>
    <t>(TiCrNbV)O2 + Al2O3</t>
  </si>
  <si>
    <t>BCC + IM</t>
  </si>
  <si>
    <t>Interrupted</t>
  </si>
  <si>
    <t>As-cast</t>
  </si>
  <si>
    <t>https://doi.org/10.1016/j.jallcom.2013.08.102</t>
  </si>
  <si>
    <t>28Fig.7_Nb17.68-Cr16.95-Mo17.14-Al6.96-Ti18.26-V17.32-Si5.69_1300C_160mmHg</t>
  </si>
  <si>
    <t>Nb18.35 Cr18.92 Mo18.08 Al8.15 Ti18.12 V18.38</t>
  </si>
  <si>
    <t>(TiCrNbV)O2 + Al2O3 + VOx</t>
  </si>
  <si>
    <t>28Fig.7_Nb18.35-Cr18.92-Mo18.08-Al8.15-Ti18.12-V18.38_1300C_160mmHg</t>
  </si>
  <si>
    <t>Nb21.81 Cr24.70 Mo20.01 Al9.97 Ti23.50</t>
  </si>
  <si>
    <t>(TiCrNbV)O2</t>
  </si>
  <si>
    <t>28Fig.7_Nb21.81-Cr24.70-Mo20.01-Al9.97-Ti23.50_1300C_160mmHg</t>
  </si>
  <si>
    <t>Nb22.50 Cr23.04 Mo22.16 Al10.15 V22.15</t>
  </si>
  <si>
    <t>CrNbO4 + CrVNbO6 + Al2O3 + VOx</t>
  </si>
  <si>
    <t>28Fig.7_Nb22.50-Cr23.04-Mo22.16-Al10.15-V22.15_1300C_160mmHg</t>
  </si>
  <si>
    <t>Zr18.48 Nb21.84 Mo10.04 Ti19.40 Cr18.39 Ta11.86</t>
  </si>
  <si>
    <t>complex oxides</t>
  </si>
  <si>
    <t>https://doi.org/10.1007/s10853-012-6582-0</t>
  </si>
  <si>
    <t>29Fig.5_Zr18.48-Nb21.84-Mo10.04-Ti19.40-Cr18.39-Ta11.86_1000C_160mmHg</t>
  </si>
  <si>
    <t>Al0.3 Hf1.0 Nb1.0 Ta1.0 Ti1.0 Zr1.0</t>
  </si>
  <si>
    <t>https://doi.org/10.1002/adem.201700948</t>
  </si>
  <si>
    <t>30Fig.4_Al0.3-Hf1.0-Nb1.0-Ta1.0-Ti1.0-Zr1.0_700C_160mmHg</t>
  </si>
  <si>
    <t>30Fig.4_Al0.3-Hf1.0-Nb1.0-Ta1.0-Ti1.0-Zr1.0_900C_160mmHg</t>
  </si>
  <si>
    <t>30Fig.4_Al0.3-Hf1.0-Nb1.0-Ta1.0-Ti1.0-Zr1.0_1100C_160mmHg</t>
  </si>
  <si>
    <t>30Fig.4_Al0.3-Hf1.0-Nb1.0-Ta1.0-Ti1.0-Zr1.0_1300C_160mmHg</t>
  </si>
  <si>
    <t>Al0.5 Hf1.0 Nb1.0 Ta1.0 Ti1.0 Zr1.0</t>
  </si>
  <si>
    <t>30Fig.4_Al0.5-Hf1.0-Nb1.0-Ta1.0-Ti1.0-Zr1.0_700C_160mmHg</t>
  </si>
  <si>
    <t>30Fig.4_Al0.5-Hf1.0-Nb1.0-Ta1.0-Ti1.0-Zr1.0_900C_160mmHg</t>
  </si>
  <si>
    <t>30Fig.4_Al0.5-Hf1.0-Nb1.0-Ta1.0-Ti1.0-Zr1.0_1100C_160mmHg</t>
  </si>
  <si>
    <t>30Fig.4_Al0.5-Hf1.0-Nb1.0-Ta1.0-Ti1.0-Zr1.0_1300C_160mmHg</t>
  </si>
  <si>
    <t>Al0.75 Hf1.0 Nb1.0 Ta1.0 Ti1.0 Zr1.0</t>
  </si>
  <si>
    <t>30Fig.4_Al0.75-Hf1.0-Nb1.0-Ta1.0-Ti1.0-Zr1.0_700C_160mmHg</t>
  </si>
  <si>
    <t>30Fig.4_Al0.75-Hf1.0-Nb1.0-Ta1.0-Ti1.0-Zr1.0_900C_160mmHg</t>
  </si>
  <si>
    <t>30Fig.4_Al0.75-Hf1.0-Nb1.0-Ta1.0-Ti1.0-Zr1.0_1100C_160mmHg</t>
  </si>
  <si>
    <t>30Fig.4_Al0.75-Hf1.0-Nb1.0-Ta1.0-Ti1.0-Zr1.0_1300C_160mmHg</t>
  </si>
  <si>
    <t>Al1.0 Hf1.0 Nb1.0 Ta1.0 Ti1.0 Zr1.0</t>
  </si>
  <si>
    <t>30Fig.4_Al1.0-Hf1.0-Nb1.0-Ta1.0-Ti1.0-Zr1.0_700C_160mmHg</t>
  </si>
  <si>
    <t>30Fig.4_Al1.0-Hf1.0-Nb1.0-Ta1.0-Ti1.0-Zr1.0_900C_160mmHg</t>
  </si>
  <si>
    <t>30Fig.4_Al1.0-Hf1.0-Nb1.0-Ta1.0-Ti1.0-Zr1.0_1100C_160mmHg</t>
  </si>
  <si>
    <t>30Fig.4_Al1.0-Hf1.0-Nb1.0-Ta1.0-Ti1.0-Zr1.0_1300C_160mmHg</t>
  </si>
  <si>
    <t>Hf1.0 Nb1.0 Ta1.0 Ti1.0 Zr1.0</t>
  </si>
  <si>
    <t>30Fig.4_Hf1.0-Nb1.0-Ta1.0-Ti1.0-Zr1.0_700C_160mmHg</t>
  </si>
  <si>
    <t>30Fig.4_Hf1.0-Nb1.0-Ta1.0-Ti1.0-Zr1.0_900C_160mmHg</t>
  </si>
  <si>
    <t>30Fig.4_Hf1.0-Nb1.0-Ta1.0-Ti1.0-Zr1.0_1100C_160mmHg</t>
  </si>
  <si>
    <t>30Fig.4_Hf1.0-Nb1.0-Ta1.0-Ti1.0-Zr1.0_1300C_160mmHg</t>
  </si>
  <si>
    <t>Al20.0 Cr20.0 Mo20.0 Nb20.0 Ti20.0</t>
  </si>
  <si>
    <t>Complex Cr, Al, Nb, Ti, oxides</t>
  </si>
  <si>
    <t>https://doi.org/10.1007/s11085-016-9696-y</t>
  </si>
  <si>
    <t>31Fig.1_Al20.0-Cr20.0-Mo20.0-Nb20.0-Ti20.0_1000C_160mmHg</t>
  </si>
  <si>
    <t>31Fig.1_Al20.0-Cr20.0-Mo20.0-Nb20.0-Ti20.0_1100C_160mmHg</t>
  </si>
  <si>
    <t>Al20.0 Cr20.0 Mo20.0 Ta20.0 Ti20.0</t>
  </si>
  <si>
    <t>TiO2 + Al2O3 + Cr2O3 + CrTaO4</t>
  </si>
  <si>
    <t>31Fig.1_Al20.0-Cr20.0-Mo20.0-Ta20.0-Ti20.0_1000C_160mmHg</t>
  </si>
  <si>
    <t>31Fig.1_Al20.0-Cr20.0-Mo20.0-Ta20.0-Ti20.0_1100C_160mmHg</t>
  </si>
  <si>
    <t>Al20.0 Cr20.0 Mo20.0 Ti20.0 W20.0</t>
  </si>
  <si>
    <t>Al2O3 + Cr2O3 + TiO2 + Cr2N + TiN + Al2(WO4)3</t>
  </si>
  <si>
    <t>31Fig.1_Al20.0-Cr20.0-Mo20.0-Ti20.0-W20.0_1000C_160mmHg</t>
  </si>
  <si>
    <t>Al19.8 Cr19.8 Mo19.8 Nb19.8 Si1.0 Ti19.8</t>
  </si>
  <si>
    <t>mixture of (TiAlCrNb) oxides</t>
  </si>
  <si>
    <t>https://doi.org/10.1016/j.jallcom.2016.07.219</t>
  </si>
  <si>
    <t>32Fig.1_Al19.8-Cr19.8-Mo19.8-Nb19.8-Si1.0-Ti19.8_900C_160mmHg</t>
  </si>
  <si>
    <t>mixture of (TiAlCrNb) oxides (93% rutile + 7% corundum)</t>
  </si>
  <si>
    <t>32Fig.1_Al19.8-Cr19.8-Mo19.8-Nb19.8-Si1.0-Ti19.8_1000C_160mmHg</t>
  </si>
  <si>
    <t>32Fig.1_Al19.8-Cr19.8-Mo19.8-Nb19.8-Si1.0-Ti19.8_1100C_160mmHg</t>
  </si>
  <si>
    <t>Cr-Al-Ti-Nb oxides</t>
  </si>
  <si>
    <t>32Fig.1_Al20.0-Cr20.0-Mo20.0-Nb20.0-Ti20.0_900C_160mmHg</t>
  </si>
  <si>
    <t>Cr, Al, Nb, Ti, oxides (~85% rutile + 15% corundum)</t>
  </si>
  <si>
    <t>32Fig.1_Al20.0-Cr20.0-Mo20.0-Nb20.0-Ti20.0_1000C_160mmHg</t>
  </si>
  <si>
    <t>Cr, Al, Nb, Ti, oxides</t>
  </si>
  <si>
    <t>32Fig.1_Al20.0-Cr20.0-Mo20.0-Nb20.0-Ti20.0_1100C_160mmHg</t>
  </si>
  <si>
    <t>Cr2O3 + mixed (Al,Cr,Ti) oxides</t>
  </si>
  <si>
    <t>https://doi.org/10.1016/j.jallcom.2014.11.012</t>
  </si>
  <si>
    <t>33Fig.8_Al20.0-Cr20.0-Mo20.0-Ti20.0-W20.0_1000C_160mmHg</t>
  </si>
  <si>
    <t>Cr22.0 Ta23.0 Ti7.0 V23.0 W24.0</t>
  </si>
  <si>
    <t>MA/SPS</t>
  </si>
  <si>
    <t>https://doi.org/10.1016/j.matchemphys.2017.06.054</t>
  </si>
  <si>
    <t>35Fig.6_Cr22.0-Ta23.0-Ti7.0-V23.0-W24.0_1000C_160mmHg</t>
  </si>
  <si>
    <t>Cr26.0 Ta24.0 V25.0 W25.0</t>
  </si>
  <si>
    <t>Complex oxides</t>
  </si>
  <si>
    <t>35Fig.6_Cr26.0-Ta24.0-V25.0-W25.0_1000C_160mmHg</t>
  </si>
  <si>
    <t>Cr24.6 Nb26.7 Ti23.9 Zr24.8</t>
  </si>
  <si>
    <t>ZrO2 + NbCrO4 + Cr2O3</t>
  </si>
  <si>
    <t>36Fig.2_Cr24.6-Nb26.7-Ti23.9-Zr24.8_1000C_160mmHg</t>
  </si>
  <si>
    <t>Nb28.3 Ti24.5 V23.0 Zr24.2</t>
  </si>
  <si>
    <t>TiO2 + TiNb2O7 + Nb2Zr6O17</t>
  </si>
  <si>
    <t>36Fig.2_Nb28.3-Ti24.5-V23.0-Zr24.2_1000C_160mmHg</t>
  </si>
  <si>
    <t>Ni45.0 Cr15.0 W40.0</t>
  </si>
  <si>
    <t>Polishing (600 grade SiC)</t>
  </si>
  <si>
    <t>https://doi.org/10.1016/0010-938X(76)90033-0</t>
  </si>
  <si>
    <t>40Fig.2_Ni45.0-Cr15.0-W40.0_1000C_1atm</t>
  </si>
  <si>
    <t>Ni50.0 Cr10.0 W40.0</t>
  </si>
  <si>
    <t>40Fig.2_Ni50.0-Cr10.0-W40.0_1000C_1atm</t>
  </si>
  <si>
    <t>Ni60.0 W40.0</t>
  </si>
  <si>
    <t>40Fig.2_Ni60.0-W40.0_1000C_1atm</t>
  </si>
  <si>
    <t>Ni67.5 Cr25.0 W7.5</t>
  </si>
  <si>
    <t>40Fig.1_Ni67.5-Cr25.0-W7.5_900C_1atm</t>
  </si>
  <si>
    <t>Ni70.0 W30.0</t>
  </si>
  <si>
    <t>40Fig.2_Ni70.0-W30.0_1000C_1atm</t>
  </si>
  <si>
    <t>Ni77.5 Cr15.0 W7.5</t>
  </si>
  <si>
    <t>40Fig.1_Ni77.5-Cr15.0-W7.5_900C_1atm</t>
  </si>
  <si>
    <t>Ni80.0 W20.0</t>
  </si>
  <si>
    <t>40Fig.2_Ni80.0-W20.0_1000C_1atm</t>
  </si>
  <si>
    <t>Ni82.5 Cr10.0 W7.5</t>
  </si>
  <si>
    <t>40Fig.1_Ni82.5-Cr10.0-W7.5_900C_1atm</t>
  </si>
  <si>
    <t>Ni85.0 Cr15.0</t>
  </si>
  <si>
    <t>40Fig.1_Ni85.0-Cr15.0_900C_1atm</t>
  </si>
  <si>
    <t>Ni92.5 W7.5</t>
  </si>
  <si>
    <t>40Fig.1_Ni92.5-W7.5_900C_1atm</t>
  </si>
  <si>
    <t>Co45.0 W30.0 Cr25.0</t>
  </si>
  <si>
    <t>https://doi.org/10.1016/0010-938X(76)90032-9</t>
  </si>
  <si>
    <t>41Fig.1_Co45.0-W30.0-Cr25.0_1000C_1atm</t>
  </si>
  <si>
    <t>Co60.0 W15.0 Cr25.0</t>
  </si>
  <si>
    <t>41Fig.1_Co60.0-W15.0-Cr25.0_1000C_1atm</t>
  </si>
  <si>
    <t>Co65.0 W30.0 Cr15.0</t>
  </si>
  <si>
    <t>41Fig.1_Co65.0-W30.0-Cr15.0_1000C_1atm</t>
  </si>
  <si>
    <t>Co67.5 W7.5 Cr25.0</t>
  </si>
  <si>
    <t>41Fig.1_Co67.5-W7.5-Cr25.0_1000C_1atm</t>
  </si>
  <si>
    <t>Co70.0 W15.0 Cr15.0</t>
  </si>
  <si>
    <t>41Fig.1_Co70.0-W15.0-Cr15.0_1000C_1atm</t>
  </si>
  <si>
    <t>Co70.0 W30.0</t>
  </si>
  <si>
    <t>41Fig.1_Co70.0-W30.0_1000C_1atm</t>
  </si>
  <si>
    <t>Co72.5 W7.5 Cr20.0</t>
  </si>
  <si>
    <t>41Fig.1_Co72.5-W7.5-Cr20.0_1000C_1atm</t>
  </si>
  <si>
    <t>Co85.0 W15.0</t>
  </si>
  <si>
    <t>41Fig.1_Co85.0-W15.0_1000C_1atm</t>
  </si>
  <si>
    <t>Co87.5 W7.5 Cr5.0</t>
  </si>
  <si>
    <t>41Fig.1_Co87.5-W7.5-Cr5.0_1000C_1atm</t>
  </si>
  <si>
    <t>Co92.5 W7.5</t>
  </si>
  <si>
    <t>41Fig.1_Co92.5-W7.5_1000C_1atm</t>
  </si>
  <si>
    <t>Ta84.0 W10.0 Al6.0</t>
  </si>
  <si>
    <t>Polished</t>
  </si>
  <si>
    <t>https://doi.org/10.1080/00325899.2019.1662559</t>
  </si>
  <si>
    <t>43Fig.4_Ta84.0-W10.0-Al6.0_900C_160mmHg</t>
  </si>
  <si>
    <t>43Fig.4_Ta84.0-W10.0-Al6.0_1000C_160mmHg</t>
  </si>
  <si>
    <t>Ta90.0 W10.0</t>
  </si>
  <si>
    <t>43Fig.4_Ta90.0-W10.0_900C_160mmHg</t>
  </si>
  <si>
    <t>43Fig.4_Ta90.0-W10.0_1000C_160mmHg</t>
  </si>
  <si>
    <t>Ta80.0 W20.0</t>
  </si>
  <si>
    <t>Polished (600 mushes)</t>
  </si>
  <si>
    <t>https://doi.org/10.4028/www.scientific.net/MSF.993.299</t>
  </si>
  <si>
    <t>44Fig.2_Ta80.0-W20.0_700C_160mmHg</t>
  </si>
  <si>
    <t>44Fig.3_Ta80.0-W20.0_800C_160mmHg</t>
  </si>
  <si>
    <t>44Fig.4_Ta80.0-W20.0_900C_160mmHg</t>
  </si>
  <si>
    <t>Ta85.0 W15.0</t>
  </si>
  <si>
    <t>44Fig.2_Ta85.0-W15.0_700C_160mmHg</t>
  </si>
  <si>
    <t>44Fig.3_Ta85.0-W15.0_800C_160mmHg</t>
  </si>
  <si>
    <t>44Fig.4_Ta85.0-W15.0_900C_160mmHg</t>
  </si>
  <si>
    <t>44Fig.2_Ta90.0-W10.0_700C_160mmHg</t>
  </si>
  <si>
    <t>44Fig.3_Ta90.0-W10.0_800C_160mmHg</t>
  </si>
  <si>
    <t>44Fig.4_Ta90.0-W10.0_900C_160mmHg_2</t>
  </si>
  <si>
    <t>Nb70.0 W20.0 Cr10.0</t>
  </si>
  <si>
    <t>Polished (600 grit)</t>
  </si>
  <si>
    <t xml:space="preserve">https://search.proquest.com/docview/193702968?accountid=13360 </t>
  </si>
  <si>
    <t>45Fig.4.15_Nb70.0-W20.0-Cr10.0_700C_160mmHg</t>
  </si>
  <si>
    <t>45Fig.4.15_Nb70.0-W20.0-Cr10.0_1000C_160mmHg</t>
  </si>
  <si>
    <t>45Fig.4.15_Nb70.0-W20.0-Cr10.0_1100C_160mmHg</t>
  </si>
  <si>
    <t>45Fig.4.15_Nb70.0-W20.0-Cr10.0_1200C_160mmHg</t>
  </si>
  <si>
    <t>45Fig.4.15_Nb70.0-W20.0-Cr10.0_1300C_160mmHg</t>
  </si>
  <si>
    <t>45Fig.4.15_Nb70.0-W20.0-Cr10.0_1400C_160mmHg</t>
  </si>
  <si>
    <t>Ni75.0 Ta25.0</t>
  </si>
  <si>
    <t>https://doi.org/10.1007/BF02676047</t>
  </si>
  <si>
    <t>46Fig.1_Ni75.0-Ta25.0_600C_160mmHg</t>
  </si>
  <si>
    <t>46Fig.1_Ni75.0-Ta25.0_650C_160mmHg</t>
  </si>
  <si>
    <t>46Fig.1_Ni75.0-Ta25.0_700C_160mmHg</t>
  </si>
  <si>
    <t>46Fig.1_Ni75.0-Ta25.0_725C_160mmHg</t>
  </si>
  <si>
    <t>46Fig.1_Ni75.0-Ta25.0_750C_160mmHg</t>
  </si>
  <si>
    <t>46Fig.1_Ni75.0-Ta25.0_775C_160mmHg</t>
  </si>
  <si>
    <t>46Fig.1_Ni75.0-Ta25.0_800C_160mmHg</t>
  </si>
  <si>
    <t>46Fig.1_Ni75.0-Ta25.0_825C_160mmHg</t>
  </si>
  <si>
    <t>46Fig.1_Ni75.0-Ta25.0_850C_160mmHg</t>
  </si>
  <si>
    <t>46Fig.1_Ni75.0-Ta25.0_875C_160mmHg</t>
  </si>
  <si>
    <t>46Fig.1_Ni75.0-Ta25.0_900C_160mmHg</t>
  </si>
  <si>
    <t>46Fig.1_Ni75.0-Ta25.0_950C_160mmHg</t>
  </si>
  <si>
    <t>46Fig.1_Ni75.0-Ta25.0_1000C_160mmHg</t>
  </si>
  <si>
    <t>Ni50.0 Ta50.0</t>
  </si>
  <si>
    <t>https://doi.org/10.1007/BF02675776</t>
  </si>
  <si>
    <t>47Fig.1_Ni50.0-Ta50.0_600C_160mmHg</t>
  </si>
  <si>
    <t>47Fig.1_Ni50.0-Ta50.0_650C_160mmHg</t>
  </si>
  <si>
    <t>47Fig.1_Ni50.0-Ta50.0_700C_160mmHg</t>
  </si>
  <si>
    <t>47Fig.1_Ni50.0-Ta50.0_750C_160mmHg</t>
  </si>
  <si>
    <t>47Fig.1_Ni50.0-Ta50.0_775C_160mmHg</t>
  </si>
  <si>
    <t>47Fig.1_Ni50.0-Ta50.0_800C_160mmHg</t>
  </si>
  <si>
    <t>47Fig.1_Ni50.0-Ta50.0_825C_160mmHg</t>
  </si>
  <si>
    <t>47Fig.1_Ni50.0-Ta50.0_850C_160mmHg</t>
  </si>
  <si>
    <t>47Fig.1_Ni50.0-Ta50.0_875C_160mmHg</t>
  </si>
  <si>
    <t>47Fig.1_Ni50.0-Ta50.0_900C_160mmHg</t>
  </si>
  <si>
    <t>47Fig.1_Ni50.0-Ta50.0_950C_160mmHg</t>
  </si>
  <si>
    <t>47Fig.1_Ni50.0-Ta50.0_1000C_160mmHg</t>
  </si>
  <si>
    <t>Ti39.0 Ni49.0 Hf12.0</t>
  </si>
  <si>
    <t>Polished (2000 grit SiC)</t>
  </si>
  <si>
    <t>https://doi.org/10.1016/j.tca.2014.02.016</t>
  </si>
  <si>
    <t>48Fig.3_Ti49.5-Ni50.5_800C_160mmHg</t>
  </si>
  <si>
    <t>48Fig.3_Ti49.5-Ni50.5_900C_160mmHg</t>
  </si>
  <si>
    <t>48Fig.3_Ti49.5-Ni50.5_1000C_160mmHg</t>
  </si>
  <si>
    <t>Ti49.5 Ni50.5</t>
  </si>
  <si>
    <t>48Fig.4_Ti39.0-Ni49.0-Hf12.0_800C_160mmHg</t>
  </si>
  <si>
    <t>48Fig.4_Ti39.0-Ni49.0-Hf12.0_900C_160mmHg</t>
  </si>
  <si>
    <t>48Fig.4_Ti39.0-Ni49.0-Hf12.0_1000C_160mmHg</t>
  </si>
  <si>
    <t>Zr96.0 Nb3.0 Sn1.0</t>
  </si>
  <si>
    <t>g/m**2</t>
  </si>
  <si>
    <t>https://doi.org/10.1016/0022-3115(80)90035-5</t>
  </si>
  <si>
    <t>49Fig.1_Zr96.0-Nb3.0-Sn1.0_600C_760mmHg</t>
  </si>
  <si>
    <t>49Fig.1_Zr96.0-Nb3.0-Sn1.0_700C_760mmHg</t>
  </si>
  <si>
    <t>49Fig.1_Zr96.0-Nb3.0-Sn1.0_800C_760mmHg</t>
  </si>
  <si>
    <t>49Fig.1_Zr96.0-Nb3.0-Sn1.0_900C_760mmHg</t>
  </si>
  <si>
    <t>Zr97.5 Nb2.5</t>
  </si>
  <si>
    <t>49Fig.1_Zr97.5-Nb2.5_600C_760mmHg</t>
  </si>
  <si>
    <t>49Fig.1_Zr97.5-Nb2.5_700C_760mmHg</t>
  </si>
  <si>
    <t>49Fig.1_Zr97.5-Nb2.5_800C_760mmHg</t>
  </si>
  <si>
    <t>49Fig.1_Zr97.5-Nb2.5_900C_760mmHg</t>
  </si>
  <si>
    <t>Zr97.8 Hf2.2</t>
  </si>
  <si>
    <t>49Fig.1_Zr97.8-Hf2.2_600C_760mmHg</t>
  </si>
  <si>
    <t>49Fig.1_Zr97.8-Hf2.2_700C_760mmHg</t>
  </si>
  <si>
    <t>49Fig.1_Zr97.8-Hf2.2_800C_760mmHg</t>
  </si>
  <si>
    <t>49Fig.1_Zr97.8-Hf2.2_900C_760mmHg</t>
  </si>
  <si>
    <t>Ta96.0 Hf4.0</t>
  </si>
  <si>
    <t>Polished (600 grade) + Chemically Polished</t>
  </si>
  <si>
    <t>https://doi.org/10.1016/0022-5088(71)90122-6</t>
  </si>
  <si>
    <t>50Fig.1_Ta96.0-Hf4.0_950C_750Torr</t>
  </si>
  <si>
    <t>Ta96.0 Mo4.0</t>
  </si>
  <si>
    <t>50Fig.1_Ta96.0-Mo4.0_950C_750Torr</t>
  </si>
  <si>
    <t>Ta96.0 W4.0</t>
  </si>
  <si>
    <t>50Fig.1_Ta96.0-W4.0_950C_750Torr</t>
  </si>
  <si>
    <t>Nb90.0 W10.0</t>
  </si>
  <si>
    <t>Vibratory Polishing (0.03 um)</t>
  </si>
  <si>
    <t>https://doi.org/10.1016/0010-938X(80)90093-1</t>
  </si>
  <si>
    <t>52Fig.1_Nb90.0-W10.0_1000C_100Torr</t>
  </si>
  <si>
    <t>52Fig.2_Nb90.0-W10.0_1000C_400Torr</t>
  </si>
  <si>
    <t>52Fig.3_Nb90.0-W10.0_1000C_760Torr</t>
  </si>
  <si>
    <t>52Fig.1_Nb90.0-W10.0_1100C_100Torr</t>
  </si>
  <si>
    <t>52Fig.2_Nb90.0-W10.0_1100C_400Torr</t>
  </si>
  <si>
    <t>52Fig.3_Nb90.0-W10.0_1100C_760Torr</t>
  </si>
  <si>
    <t>52Fig.1_Nb90.0-W10.0_1150C_100Torr</t>
  </si>
  <si>
    <t>52Fig.2_Nb90.0-W10.0_1150C_400Torr</t>
  </si>
  <si>
    <t>52Fig.3_Nb90.0-W10.0_1150C_760Torr</t>
  </si>
  <si>
    <t>52Fig.1_Nb90.0-W10.0_1200C_100Torr</t>
  </si>
  <si>
    <t>52Fig.2_Nb90.0-W10.0_1200C_400Torr</t>
  </si>
  <si>
    <t>52Fig.3_Nb90.0-W10.0_1200C_760Torr</t>
  </si>
  <si>
    <t>V60.0 Al30.0 Cr10.0</t>
  </si>
  <si>
    <t>Polishing (600-grit SiC)</t>
  </si>
  <si>
    <t>https://doi.org/10.1007/BF01151591</t>
  </si>
  <si>
    <t>53Fig.7_V60.0-Al30.0-Cr10.0_700C_160mmHg</t>
  </si>
  <si>
    <t>53Fig.7_V60.0-Al30.0-Cr10.0_800C_160mmHg</t>
  </si>
  <si>
    <t>53Fig.7_V60.0-Al30.0-Cr10.0_900C_160mmHg</t>
  </si>
  <si>
    <t>53Fig.7_V60.0-Al30.0-Cr10.0_1000C_160mmHg</t>
  </si>
  <si>
    <t>V60.0 Al30.0 Ti10.0</t>
  </si>
  <si>
    <t>53Fig.11_V60.0-Al30.0-Ti10.0_700C_160mmHg</t>
  </si>
  <si>
    <t>53Fig.11_V60.0-Al30.0-Ti10.0_800C_160mmHg</t>
  </si>
  <si>
    <t>53Fig.11_V60.0-Al30.0-Ti10.0_900C_160mmHg</t>
  </si>
  <si>
    <t>53Fig.11_V60.0-Al30.0-Ti10.0_1000C_160mmHg</t>
  </si>
  <si>
    <t>V70.0 Al30.0</t>
  </si>
  <si>
    <t>53Fig.4_V70.0-Al30.0_700C_160mmHg</t>
  </si>
  <si>
    <t>53Fig.4_V70.0-Al30.0_800C_160mmHg</t>
  </si>
  <si>
    <t>53Fig.4_V70.0-Al30.0_900C_160mmHg</t>
  </si>
  <si>
    <t>53Fig.4_V70.0-Al30.0_1000C_160mmHg</t>
  </si>
  <si>
    <t>Mo27.2 Si20.0 Ti52.8</t>
  </si>
  <si>
    <t>Polishing (P1200 grit SiC)</t>
  </si>
  <si>
    <t>https://doi.org/10.1002/adem.202000219</t>
  </si>
  <si>
    <t>54Fig.2_Mo27.2-Si20.0-Ti52.8_1100C_160mmHg</t>
  </si>
  <si>
    <t>Ti85.0 Mo15.0</t>
  </si>
  <si>
    <t>https://doi.org/10.1016/0022-5088(62)90061-9</t>
  </si>
  <si>
    <t>55Fig.1_Ti85.0-Mo15.0_685C_1atm</t>
  </si>
  <si>
    <t>55Fig.1_Ti85.0-Mo15.0_760C_1atm</t>
  </si>
  <si>
    <t>55Fig.1_Ti85.0-Mo15.0_810C_1atm</t>
  </si>
  <si>
    <t>55Fig.1_Ti85.0-Mo15.0_820C_1atm</t>
  </si>
  <si>
    <t>55Fig.3_Ti85.0-Mo15.0_880C_1atm</t>
  </si>
  <si>
    <t>55Fig.3_Ti85.0-Mo15.0_900C_1atm</t>
  </si>
  <si>
    <t>55Fig.1_Ti85.0-Mo15.0_920C_1atm</t>
  </si>
  <si>
    <t>55Fig.3_Ti85.0-Mo15.0_940C_1atm</t>
  </si>
  <si>
    <t>55Fig.3_Ti85.0-Mo15.0_945C_1atm</t>
  </si>
  <si>
    <t>55Fig.3_Ti85.0-Mo15.0_950C_1atm</t>
  </si>
  <si>
    <t>55Fig.3_Ti85.0-Mo15.0_975C_1atm</t>
  </si>
  <si>
    <t>55Fig.3_Ti85.0-Mo15.0_990C_1atm</t>
  </si>
  <si>
    <t>Ni68.0 Cr30.0 Al2.0</t>
  </si>
  <si>
    <t>Polished (600-grit SiC)</t>
  </si>
  <si>
    <t>https://doi.org/10.1149/1.2407837</t>
  </si>
  <si>
    <t>56Fig.5_Ni68.0-Cr30.0-Al2.0_1000C_0.1atm</t>
  </si>
  <si>
    <t>56Fig.5_Ni68.0-Cr30.0-Al2.0_1100C_0.1atm</t>
  </si>
  <si>
    <t>56Fig.5_Ni68.0-Cr30.0-Al2.0_1200C_0.1atm</t>
  </si>
  <si>
    <t>Ni74.0 Cr20.0 Al6.0</t>
  </si>
  <si>
    <t>56Fig.7_Ni74.0-Cr20.0-Al6.0_1200C_0.1atm</t>
  </si>
  <si>
    <t>Ni78.0 Cr20.0 Al2.0</t>
  </si>
  <si>
    <t>56Fig.5_Ni78.0-Cr20.0-Al2.0_1100C_0.1atm</t>
  </si>
  <si>
    <t>Ni89.0 Cr5.0 Al6.0</t>
  </si>
  <si>
    <t>56Fig.7_Ni89.0-Cr5.0-Al6.0_1000C_0.1atm</t>
  </si>
  <si>
    <t>56Fig.7_Ni89.0-Cr5.0-Al6.0_1100C_0.1atm</t>
  </si>
  <si>
    <t>56Fig.7_Ni89.0-Cr5.0-Al6.0_1200C_0.1atm</t>
  </si>
  <si>
    <t>Ni94.0 Cr5.0 Al1.0</t>
  </si>
  <si>
    <t>56Fig.2_Ni94.0-Cr5.0-Al1.0_1000C_0.1atm</t>
  </si>
  <si>
    <t>56Fig.2_Ni94.0-Cr5.0-Al1.0_1100C_0.1atm</t>
  </si>
  <si>
    <t>56Fig.2_Ni94.0-Cr5.0-Al1.0_1200C_0.1atm</t>
  </si>
  <si>
    <t>Ni95.0 Cr5.0</t>
  </si>
  <si>
    <t>56Fig.2_Ni95.0-Cr5.0_1100C_0.1atm</t>
  </si>
  <si>
    <t>Ni97.0 Al3.0</t>
  </si>
  <si>
    <t>56Fig.2_Ni97.0-Al3.0_1100C_0.1atm</t>
  </si>
  <si>
    <t>Ti30.0 Al30.0 Nb40.0</t>
  </si>
  <si>
    <t>https://doi.org/10.1023/B:JMSC.0000044899.40687.a6</t>
  </si>
  <si>
    <t>57Fig.3_Ti30.0-Al30.0-Nb40.0_1000C_160mmHg</t>
  </si>
  <si>
    <t>Ti40.0 Al40.0 Nb20.0</t>
  </si>
  <si>
    <t>57Fig.3_Ti40.0-Al40.0-Nb20.0_1000C_160mmHg</t>
  </si>
  <si>
    <t>Ti43.0 Al42.8 Nb14.2</t>
  </si>
  <si>
    <t>57Fig.3_Ti43.0-Al42.8-Nb14.2_1000C_160mmHg</t>
  </si>
  <si>
    <t>Ti47.5 Al47.5 Nb5.0</t>
  </si>
  <si>
    <t>57Fig.3_Ti47.5-Al47.5-Nb5.0_1000C_160mmHg</t>
  </si>
  <si>
    <t>Zr90.0 Nb10.0</t>
  </si>
  <si>
    <t>https://doi.org/10.1016/j.pnucene.2008.08.001</t>
  </si>
  <si>
    <t>58Fig.2a_Zr90.0-Nb10.0_973K_160mmHg</t>
  </si>
  <si>
    <t>58Fig.2b_Zr90.0-Nb10.0_1073K_160mmHg</t>
  </si>
  <si>
    <t>58Fig.2c_Zr90.0-Nb10.0_1173K_160mmHg</t>
  </si>
  <si>
    <t>58Fig.2d_Zr90.0-Nb10.0_1273K_160mmHg</t>
  </si>
  <si>
    <t>Zr94.0 Nb6.0</t>
  </si>
  <si>
    <t>58Fig.2a_Zr94.0-Nb6.0_973K_160mmHg</t>
  </si>
  <si>
    <t>58Fig.2b_Zr94.0-Nb6.0_1073K_160mmHg</t>
  </si>
  <si>
    <t>58Fig.2c_Zr94.0-Nb6.0_1173K_160mmHg</t>
  </si>
  <si>
    <t>58Fig.2d_Zr94.0-Nb6.0_1273K_160mmHg</t>
  </si>
  <si>
    <t>Zr96.0 Nb4.0</t>
  </si>
  <si>
    <t>58Fig.2a_Zr96.0-Nb4.0_973K_160mmHg</t>
  </si>
  <si>
    <t>58Fig.2b_Zr96.0-Nb4.0_1073K_160mmHg</t>
  </si>
  <si>
    <t>58Fig.2c_Zr96.0-Nb4.0_1173K_160mmHg</t>
  </si>
  <si>
    <t>58Fig.2d_Zr96.0-Nb4.0_1273K_160mmHg</t>
  </si>
  <si>
    <t>58Fig.2a_Zr97.5-Nb2.5_973K_160mmHg</t>
  </si>
  <si>
    <t>58Fig.2b_Zr97.5-Nb2.5_1073K_160mmHg</t>
  </si>
  <si>
    <t>58Fig.2c_Zr97.5-Nb2.5_1173K_160mmHg</t>
  </si>
  <si>
    <t>58Fig.2d_Zr97.5-Nb2.5_1273K_160mmHg</t>
  </si>
  <si>
    <t>Zr99.0 Nb1.0</t>
  </si>
  <si>
    <t>58Fig.2a_Zr99.0-Nb1.0_973K_160mmHg</t>
  </si>
  <si>
    <t>58Fig.2b_Zr99.0-Nb1.0_1073K_160mmHg</t>
  </si>
  <si>
    <t>58Fig.2c_Zr99.0-Nb1.0_1173K_160mmHg</t>
  </si>
  <si>
    <t>58Fig.2d_Zr99.0-Nb1.0_1273K_160mmHg</t>
  </si>
  <si>
    <t>Nb56.0 Si18.0 Mo26.0</t>
  </si>
  <si>
    <t>https://doi-org.ezproxy.lib.purdue.edu/10.1007/s11661-007-9398-9</t>
  </si>
  <si>
    <t>59Fig.5_Nb56.0-Si18.0-Mo26.0_800C_160mmHg</t>
  </si>
  <si>
    <t>59Fig.5_Nb56.0-Si18.0-Mo26.0_1000C_160mmHg</t>
  </si>
  <si>
    <t>59Fig.5_Nb56.0-Si18.0-Mo26.0_1150C_160mmHg</t>
  </si>
  <si>
    <t>Nb73.0 Si12.0 Mo15.0</t>
  </si>
  <si>
    <t>59Fig.5_Nb73.0-Si12.0-Mo15.0_800C_160mmHg</t>
  </si>
  <si>
    <t>59Fig.5_Nb73.0-Si12.0-Mo15.0_1000C_160mmHg</t>
  </si>
  <si>
    <t>59Fig.5_Nb73.0-Si12.0-Mo15.0_1150C_160mmHg</t>
  </si>
  <si>
    <t>Nb76.0 Si19.0 Mo5.0</t>
  </si>
  <si>
    <t>59Fig.5_Nb76.0-Si19.0-Mo5.0_800C_160mmHg</t>
  </si>
  <si>
    <t>59Fig.5_Nb76.0-Si19.0-Mo5.0_1000C_160mmHg</t>
  </si>
  <si>
    <t>59Fig.5_Nb76.0-Si19.0-Mo5.0_1150C_160mmHg</t>
  </si>
  <si>
    <t>Nb83.0 Si13.0 Mo4.0</t>
  </si>
  <si>
    <t>59Fig.5_Nb83.0-Si13.0-Mo4.0_800C_160mmHg</t>
  </si>
  <si>
    <t>59Fig.5_Nb83.0-Si13.0-Mo4.0_1000C_160mmHg</t>
  </si>
  <si>
    <t>59Fig.5_Nb83.0-Si13.0-Mo4.0_1150C_160mmHg</t>
  </si>
  <si>
    <t>Ni50.0 Cr50.0</t>
  </si>
  <si>
    <t>https://doi.org/10.1007/BF00611976</t>
  </si>
  <si>
    <t>60Fig.3_Ni50.0-Cr50.0_800C_1atm</t>
  </si>
  <si>
    <t>60Fig.3_Ni50.0-Cr50.0_900C_1atm</t>
  </si>
  <si>
    <t>60Fig.3_Ni50.0-Cr50.0_947C_1atm</t>
  </si>
  <si>
    <t>60Fig.3_Ni50.0-Cr50.0_1000C_1atm</t>
  </si>
  <si>
    <t>60Fig.3_Ni50.0-Cr50.0_1050C_1atm</t>
  </si>
  <si>
    <t>60Fig.3_Ni50.0-Cr50.0_1100C_1atm</t>
  </si>
  <si>
    <t>Ni56.0 Cr44.0</t>
  </si>
  <si>
    <t>60Fig.2_Ni56.0-Cr44.0_800C_1atm</t>
  </si>
  <si>
    <t>60Fig.2_Ni56.0-Cr44.0_900C_1atm</t>
  </si>
  <si>
    <t>60Fig.2_Ni56.0-Cr44.0_940C_1atm</t>
  </si>
  <si>
    <t>60Fig.2_Ni56.0-Cr44.0_1000C_1atm</t>
  </si>
  <si>
    <t>60Fig.2_Ni56.0-Cr44.0_1050C_1atm</t>
  </si>
  <si>
    <t>60Fig.2_Ni56.0-Cr44.0_1100C_1atm</t>
  </si>
  <si>
    <t>Nb33.0 Ta34.1 Ti32.3</t>
  </si>
  <si>
    <t>BCC+IM</t>
  </si>
  <si>
    <t>https://doi.org/10.1016/j.jallcom.2020.158003</t>
  </si>
  <si>
    <t>70Fig.14_Nb33.0-Ta34.1-Ti32.3_1200C_160mmHg</t>
  </si>
  <si>
    <t>Nb34.2 Ta34.4 Zr30.9</t>
  </si>
  <si>
    <t>BCC+HCP</t>
  </si>
  <si>
    <t>70Fig.14_Nb34.2-Ta34.4-Zr30.9_1200C_160mmHg</t>
  </si>
  <si>
    <t>Mo94.8 W5.0 Ta0.117 Ti0.0587 Zr0.0587</t>
  </si>
  <si>
    <t>CrTaO4+complex oxides</t>
  </si>
  <si>
    <t>4000 grit</t>
  </si>
  <si>
    <t>https://doi.org/10.1016/j.actamat.2021.117114</t>
  </si>
  <si>
    <t>71Fig.9a_Al1.1-O17.4-Si32.7-Mo34.6-B6.1-Ti1.0-Zr0.8-W1.8-Ta4.7_1300C_160mmHg</t>
  </si>
  <si>
    <t>Al3.6 Co27.0 Cr18.0 Fe18.0 Ni27.0 Ti5.4 Nb0.9</t>
  </si>
  <si>
    <t>Fe2O3 + TiO2 +CoO +Cr2O3+Al2O4</t>
  </si>
  <si>
    <t>FCC + IM</t>
  </si>
  <si>
    <t xml:space="preserve">Continous </t>
  </si>
  <si>
    <t>Solution Treated at 1150C then aging treatment at 750C.</t>
  </si>
  <si>
    <t>https://doi.org/10.1016/j.jallcom.2020.153983</t>
  </si>
  <si>
    <t>72Fig.3_Al3.6-Co27.0-Cr18.0-Fe18.0-Ni27.0-Ti5.4-Nb0.9_900C_160mmHg</t>
  </si>
  <si>
    <t>Fe2O3 + TiO2 +CoO +Cr2O3+Al2O3</t>
  </si>
  <si>
    <t>72Fig.3_Al3.6-Co27.3-Cr18.2-Fe18.2-Ni27.3-Ti5.5_900C_160mmHg</t>
  </si>
  <si>
    <t>Al0.5 Cr0.25 Nb0.5 Ta0.5 Ti1.5</t>
  </si>
  <si>
    <t>TiO2 + complex oxides</t>
  </si>
  <si>
    <t>Continous</t>
  </si>
  <si>
    <t>as-cast</t>
  </si>
  <si>
    <t>https://doi.org/10.1016/j.mtadv.2020.100104</t>
  </si>
  <si>
    <t>73Fig.2_Al0.5-Cr0.25-Nb0.5-Ta0.5-Ti1.5_1100C_160mmHg</t>
  </si>
  <si>
    <t>Al0.5 Cr0.25 Nb0.5 Ta0.5 Ti1.5 Zr0.01</t>
  </si>
  <si>
    <t>73Fig.2_Al0.5-Cr0.25-Nb0.5-Ta0.5-Ti1.5-Zr0.01_1100C_160mmHg</t>
  </si>
  <si>
    <t>Al0.75 Cr0.25 Nb0.5 Ta0.5 Ti1.5</t>
  </si>
  <si>
    <t>73Fig.2_Al0.75-Cr0.25-Nb0.5-Ta0.5-Ti1.5_1100C_160mmHg</t>
  </si>
  <si>
    <t>Nb0.2 Zr0.2 Ti0.2 Cr0.2 Al0.2</t>
  </si>
  <si>
    <t>CrNbO4, ZrO2, TiO2, Al2O3, ZrNb2O9</t>
  </si>
  <si>
    <t>continuous</t>
  </si>
  <si>
    <t>1200 grit, ultrasonic acetone bath</t>
  </si>
  <si>
    <t>Vaccum arc melting in Ar atmosphene</t>
  </si>
  <si>
    <t>https://doi.org/10.1016/j.vacuum.2019.01.026</t>
  </si>
  <si>
    <t>74Fig.3_Nb0.2-Zr0.2-Ti0.2-Cr0.2-Al0.2_800C_160mmHg</t>
  </si>
  <si>
    <t>CrNbO4, ZrO2, TiO2, Al2O3, ZrNb2O8</t>
  </si>
  <si>
    <t>74Fig.3_Nb0.2-Zr0.2-Ti0.2-Cr0.2-Al0.2_1000C_160mmHg</t>
  </si>
  <si>
    <t>CrNbO4, ZrO2, TiO2, Al2O3, ZrNb2O7</t>
  </si>
  <si>
    <t>74Fig.3_Nb0.2-Zr0.2-Ti0.2-Cr0.2-Al0.2_1200C_160mmHg</t>
  </si>
  <si>
    <t>Ti1.0 Zr1.0 Nb1.0 Ta1.0</t>
  </si>
  <si>
    <t>Ti-gettered Argon atmosphere arc melting</t>
  </si>
  <si>
    <t>HIPed (1500C,150MPa,2hr), Quenched (1500C, 2hr)</t>
  </si>
  <si>
    <t>https://doi.org/10.1016/j.jallcom.2020.154099</t>
  </si>
  <si>
    <t>76Fig.2_Ti1.0-Zr1.0-Nb1.0-Ta1.0_1000C_160mmHg</t>
  </si>
  <si>
    <t>76Fig.2_Ti1.0-Zr1.0-Nb1.0-Ta1.0_1200C_160mmHg</t>
  </si>
  <si>
    <t>76Fig.2_Ti1.0-Zr1.0-Nb1.0-Ta1.0_1400C_160mmHg</t>
  </si>
  <si>
    <t>Al20.0 Cr25.0 Nb20.0 Ti20.0 Zr15.0</t>
  </si>
  <si>
    <t>Al2O3 + TiO2 + "other oxides"</t>
  </si>
  <si>
    <t>Grinding, polishing, ultrasonic cleaning</t>
  </si>
  <si>
    <t>Argon atmosphere arc melting</t>
  </si>
  <si>
    <t>https://doi.org/10.1007/s11665-019-04177-x</t>
  </si>
  <si>
    <t>77Fig.1_Al20.0-Cr25.0-Nb20.0-Ti20.0-Zr15.0_800C_160mmHg</t>
  </si>
  <si>
    <t>Al20.0 Cr25.0 Nb20.0 Ti20.0 Zr15.0 Y1.0</t>
  </si>
  <si>
    <t>77Fig.1_Al20.0-Cr25.0-Nb20.0-Ti20.0-Zr15.0-Y1.0_800C_160mmHg</t>
  </si>
  <si>
    <t>Al0.25 Cr1.0 Ti1.0 Mo1.0</t>
  </si>
  <si>
    <t>TiO2+Al2O3+Cr2O3</t>
  </si>
  <si>
    <t xml:space="preserve">Chemically Polished </t>
  </si>
  <si>
    <t>Sintered (1400C,30MPa,20min)</t>
  </si>
  <si>
    <t>https://doi.org/10.1007/s10853-020-05480-y</t>
  </si>
  <si>
    <t>78Fig.2_Al0.25-Cr1.0-Ti1.0-Mo1.0_1000C_160mmHg</t>
  </si>
  <si>
    <t>Al0.5 Cr1.0 Ti1.0 Mo1.0</t>
  </si>
  <si>
    <t>TiO2+Al2O3</t>
  </si>
  <si>
    <t>Al0.75 Cr1.0 Ti1.0 Mo1.0</t>
  </si>
  <si>
    <t>78Fig.2_Al0.75-Cr1.0-Ti1.0-Mo1.0_1000C_160mmHg</t>
  </si>
  <si>
    <t>Al1.0 Cr1.0 Ti1.0 Mo1.0</t>
  </si>
  <si>
    <t>78Fig.2_Al1.0-Cr1.0-Ti1.0-Mo1.0_1000C_160mmHg</t>
  </si>
  <si>
    <t>Al25.0 Nb22.4 Ti24.0 V21.9 Zr6.7</t>
  </si>
  <si>
    <t>15-30</t>
  </si>
  <si>
    <t>V2O5+VO2+TiO2+NbO5+TiNb2O7</t>
  </si>
  <si>
    <t>As cast, polished with MasterMet colloidal silica suspension, unltrasonically cleaned in isopropanol</t>
  </si>
  <si>
    <t>https://doi.org/10.3390/ma11122526</t>
  </si>
  <si>
    <t>79Fig.2_Al25.0-Nb22.4-Ti24.0-V21.9-Zr6.7_600C_160mmHg</t>
  </si>
  <si>
    <t>79Fig.2_Al25.0-Nb22.4-Ti24.0-V21.9-Zr6.7_700C_160mmHg</t>
  </si>
  <si>
    <t>AlNbO4+TiNb2O7+VO2+Nb2Zr6O17</t>
  </si>
  <si>
    <t>79Fig.2_Al25.0-Nb22.4-Ti24.0-V21.9-Zr6.7_800C_160mmHg</t>
  </si>
  <si>
    <t>TiNb2O7+AlNbO4+Nb2ZrO17</t>
  </si>
  <si>
    <t>79Fig.2_Al25.0-Nb22.4-Ti24.0-V21.9-Zr6.7_900C_160mmHg</t>
  </si>
  <si>
    <t>Al15.52 Co18.74 Cr18.33 Cu16.67 Fe17.08 Ni13.66</t>
  </si>
  <si>
    <t>Al2O3+Cr2O3+(Co,Ni,Cu)(Al,Cr,Fe)2O4+(Co,Ni,Cu)O</t>
  </si>
  <si>
    <t>https://doi.org/10.1016/j.vacuum.2019.108837</t>
  </si>
  <si>
    <t>80Fig.10_Al15.52-Co18.74-Cr18.33-Cu16.67-Fe17.08-Ni13.66_1000C_160mmHg</t>
  </si>
  <si>
    <t>Al22.86 Co14.12 Cr16.65 Cu13.44 Fe17.28 Ni15.65</t>
  </si>
  <si>
    <t>80Fig.10_Al22.86-Co14.12-Cr16.65-Cu13.44-Fe17.28-Ni15.65_1000C_160mmHg</t>
  </si>
  <si>
    <t>Al27.64 Co13.08 Cr14.57 Cu13.06 Fe15.22 Ni16.43</t>
  </si>
  <si>
    <t>80Fig.10_Al27.64-Co13.08-Cr14.57-Cu13.06-Fe15.22-Ni16.43_1000C_160mmHg</t>
  </si>
  <si>
    <t>Al7.85 Co17.56 Cr20.11 Cu16.32 Fe19.43 Ni18.71</t>
  </si>
  <si>
    <t>80Fig.10_Al7.85-Co17.56-Cr20.11-Cu16.32-Fe19.43-Ni18.71_1000C_160mmHg</t>
  </si>
  <si>
    <t>Co19.34 Cr21.07 Cu18.56 Fe20.94 Ni20.09</t>
  </si>
  <si>
    <t>6-7</t>
  </si>
  <si>
    <t>Cr2O3+(Co,Ni,Cu)(Cr,Fe)2O4+(Co,Ni,Cu)O</t>
  </si>
  <si>
    <t>Al11.5 Cr23.0 Mo8.0 Nb23.0 Ti23.0 Zr11.5</t>
  </si>
  <si>
    <t xml:space="preserve">Continuous </t>
  </si>
  <si>
    <t>Annealed(1200C,24hr)</t>
  </si>
  <si>
    <t>https://doi.org/10.1016/j.jallcom.2020.154427</t>
  </si>
  <si>
    <t>81Fig.4_Al11.5-Cr23.0-Mo8.0-Nb23.0-Ti23.0-Zr11.5_1000C_160mmHg</t>
  </si>
  <si>
    <t>Al12.0 Cr24.0 Mo4.0 Nb24.0 Ti 24.0 Zr 12.0</t>
  </si>
  <si>
    <t>81Fig.4_Al12.0-Cr24.0-Mo4.0-Nb24.0-Ti24.0-Zr12.0_1000C_160mmHg</t>
  </si>
  <si>
    <t>Al12.5 Cr25.0 Nb25.0 Ti25.0 Zr12.5</t>
  </si>
  <si>
    <t>Nb2O5+Al/Ti/Cr Oxides</t>
  </si>
  <si>
    <t>81Fig.4_Al12.5-Cr25.0-Nb25.0-Ti25.0-Zr12.5_1000C_160mmHg</t>
  </si>
  <si>
    <t>Cr17.6 Al20.3 Mo15.2 Nb2.9 Si13.4 Ta5.4 Ti25.2</t>
  </si>
  <si>
    <t>Al2O3+Cr2O3+SiO2+MoO3</t>
  </si>
  <si>
    <t>Cold crucible levitation melting</t>
  </si>
  <si>
    <t>https://doi.org/10.1016/j.intermet.2020.106711</t>
  </si>
  <si>
    <t>83Fig.1_Cr17.6-Al20.3-Mo15.2-Nb2.9-Si13.4-Ta5.4-Ti25.2_1200C_160mmHg</t>
  </si>
  <si>
    <t>83Fig.1_Cr17.6-Al20.3-Mo15.2-Nb2.9-Si13.4-Ta5.4-Ti25.2_1300C_160mmHg</t>
  </si>
  <si>
    <t>83Fig.1_Cr17.6-Al20.3-Mo15.2-Nb2.9-Si13.4-Ta5.4-Ti25.2_1400C_160mmHg</t>
  </si>
  <si>
    <t>Co19.32 Cr21.11 Fe21.59 Mn19.62 Nb1.60 Ni16.76</t>
  </si>
  <si>
    <t>Mn2O3+Cr2O3</t>
  </si>
  <si>
    <t>FCC+ IM</t>
  </si>
  <si>
    <t>polished (grit of 1200)</t>
  </si>
  <si>
    <t>https://doi.org/10.1016/j.corsci.2019.07.012</t>
  </si>
  <si>
    <t>84Fig.3_Co19.32-Cr21.11-Fe21.59-Mn19.62-Nb1.60-Ni16.76_700C_160mmHg</t>
  </si>
  <si>
    <t>84Fig.3_Co19.32-Cr21.11-Fe21.59-Mn19.62-Nb1.60-Ni16.76_800C_160mmHg</t>
  </si>
  <si>
    <t>Mn3O4+Fe3O4</t>
  </si>
  <si>
    <t>84Fig.3_Co19.32-Cr21.11-Fe21.59-Mn19.62-Nb1.60-Ni16.76_900C_160mmHg</t>
  </si>
  <si>
    <t>Co19.74 Cr13.47 Fe14.38 Mn16.12 Nb21.57 Ni14.72</t>
  </si>
  <si>
    <t>84Fig.3_Co19.74-Cr13.47-Fe14.38-Mn16.12-Nb21.57-Ni14.72_700C_160mmHg</t>
  </si>
  <si>
    <t>84Fig.3_Co19.74-Cr13.47-Fe14.38-Mn16.12-Nb21.57-Ni14.72_800C_160mmHg</t>
  </si>
  <si>
    <t>84Fig.3_Co19.74-Cr13.47-Fe14.38-Mn16.12-Nb21.57-Ni14.72_900C_160mmHg</t>
  </si>
  <si>
    <t>Al0.6 Cr24.775 Fe24.775 Co24.775 Ni24.775 Si0.3</t>
  </si>
  <si>
    <t>Cr2O3+Al2O3</t>
  </si>
  <si>
    <t>BCC+FCC</t>
  </si>
  <si>
    <t>https://doi.org/10.1016/j.jallcom.2018.06.036</t>
  </si>
  <si>
    <t>85Fig.1_Al0.6-Cr24.775-Fe24.775-Co24.775-Ni24.775-Si0.3_800C_160mmHg</t>
  </si>
  <si>
    <t>85Fig.1_Al0.6-Cr24.775-Fe24.775-Co24.775-Ni24.775-Si0.3_900C_160mmHg</t>
  </si>
  <si>
    <t>85Fig.1_Al0.6-Cr24.775-Fe24.775-Co24.775-Ni24.775-Si0.3_1000C_160mmHg</t>
  </si>
  <si>
    <t>Al0.6 Cr24.85 Fe24.85 Co24.85 Ni24.85</t>
  </si>
  <si>
    <t>85Fig.1_Al0.6-Cr24.85-Fe24.85-Co24.85-Ni24.85_800C_160mmHg</t>
  </si>
  <si>
    <t>85Fig.1_Al0.6-Cr24.85F-e24.85-Co24.85-Ni24.85_900C_160mmHg</t>
  </si>
  <si>
    <t>(2-10)</t>
  </si>
  <si>
    <t>85Fig.1_Al0.6-Cr24.85-Fe24.85-Co24.85-Ni24.85_1000C_160mmHg</t>
  </si>
  <si>
    <t>Ni32.3 Al33.9 Cr27.4 Mo6.4</t>
  </si>
  <si>
    <t xml:space="preserve">Al2O3 </t>
  </si>
  <si>
    <t>EDM, P4000 grit</t>
  </si>
  <si>
    <t>https://doi.org/10.1016/j.corsci.2019.02.011</t>
  </si>
  <si>
    <t>87Fig.3_Ni32.3-Al33.9-Cr27.4-Mo6.4_900C_160mmHg</t>
  </si>
  <si>
    <t>Ni32.4 Al33.9 Cr33.7</t>
  </si>
  <si>
    <t>87Fig.3_Ni32.4-Al33.9-Cr33.7_900C_160mmHg</t>
  </si>
  <si>
    <t>Ni44.7 Al45.2 Mo10.1</t>
  </si>
  <si>
    <t>Al2O3 + NiO + NiAlO4 + NiMoO4</t>
  </si>
  <si>
    <t>87Fig.3_Ni44.7-Al45.2-Mo10_900C_160mmHg</t>
  </si>
  <si>
    <t>Ni50 Al50</t>
  </si>
  <si>
    <t>87Fig.3_Ni50-Al50_900C_160mmHg</t>
  </si>
  <si>
    <t>W28.2 Mo23.3 Ta26.5 Nb22.1</t>
  </si>
  <si>
    <t>Nb2O5 + Ta2O5 + WO3</t>
  </si>
  <si>
    <t>polished(2000 grit), cleaned in ethanol</t>
  </si>
  <si>
    <t>Vacuum induction levitation melting</t>
  </si>
  <si>
    <t>https://doi.org/10.3390/met12010041</t>
  </si>
  <si>
    <t>W22.7 Mo19.5 Ta22.2 Nb17.8 V17.8</t>
  </si>
  <si>
    <t>Nb2O5 + Ta2O5 + WO4</t>
  </si>
  <si>
    <t>W26.4 Mo18.0 Ta23.4 Nb17.1 Ti15.1</t>
  </si>
  <si>
    <t>Nb2O5 + Ta2O5 + WO5</t>
  </si>
  <si>
    <t>Al18.92 Mo10.29 Nb20.16 Ta11.32 Ti19.33 Zr19.98</t>
  </si>
  <si>
    <t>Al2O3 + TiO2 + Nb2O5 + Ta2O5</t>
  </si>
  <si>
    <t>Vacuum Arc Melting</t>
  </si>
  <si>
    <t>https://doi.org/10.1016/j.ijrmhm.2022.105812</t>
  </si>
  <si>
    <t>Al21.95 Mo9.92 Nb19.75 Ta11.02 Ti18.78 Zr18.58</t>
  </si>
  <si>
    <t>Al24.58 Mo9.62 Nb19.06 Ta10.74 Ti17.98 Zr18.02</t>
  </si>
  <si>
    <t>89Fig.2_Al18.92-Mo10.29-Nb20.16-Ta11.32-Ti19.33-Zr19.98_1000C_160mmHg</t>
  </si>
  <si>
    <t>89Fig.2_Al21.95-Mo9.92-Nb19.75-Ta11.02-Ti18.78-Zr18.58_1000C_160mmHg</t>
  </si>
  <si>
    <t>89Fig.2_Al24.58-Mo9.62-Nb19.06-Ta10.74-Ti17.98-Zr18.02_1000C_160mmHg</t>
  </si>
  <si>
    <t xml:space="preserve">Nb31 Ti34 Zr26 Al6 V3 </t>
  </si>
  <si>
    <t>mg/mm**2</t>
  </si>
  <si>
    <t>.</t>
  </si>
  <si>
    <t>Vacuum arc melting</t>
  </si>
  <si>
    <t>https://doi.org/10.1016/j.jallcom.2022.164180</t>
  </si>
  <si>
    <t>90Fig.2_Nb31-Ti34-Zr26-Al6-V3_500C_160mmHg</t>
  </si>
  <si>
    <t>90Fig.2_Nb31-Ti34-Zr26-Al6-V3_800C_160mmHg</t>
  </si>
  <si>
    <t>Nb31 Ti26 Zr26 Al6 V11</t>
  </si>
  <si>
    <t>90Fig.2_Nb31-Ti26-Zr-26Al6-V11_500C_160mmHg</t>
  </si>
  <si>
    <t>90Fig.2_Nb31-Ti26-Zr-26Al6-V11_800C_160mmHg</t>
  </si>
  <si>
    <t>Al20.0 Co5.0 Cr20.0 Fe20.0 Ni35.0</t>
  </si>
  <si>
    <t>Al2O3 + Cr2O3</t>
  </si>
  <si>
    <t>polished(1 micron diamond grit), cleaned in ethanol</t>
  </si>
  <si>
    <t>Arc melting (Argon atmosphere)</t>
  </si>
  <si>
    <t>Annealed (1273 K, 24 hr)</t>
  </si>
  <si>
    <t>https://doi.org/10.2320/matertrans.MT-MA2022012</t>
  </si>
  <si>
    <t>91Fig.3_Al20-Co5-Cr20-Fe20-Ni35_900C_160mmHg</t>
  </si>
  <si>
    <t>Al10.0 Co15.0 Cr20.0 Fe20.0 Ni35.0</t>
  </si>
  <si>
    <t>Al2O3 + Cr2O4</t>
  </si>
  <si>
    <t>91Fig.3_Al10-Co15-Cr20-Fe20-Ni35_900C_160mmHg</t>
  </si>
  <si>
    <t>Cr25.0 Mo25.0 Ta25.0 Ti25.0</t>
  </si>
  <si>
    <t>CrTaO4 + TiO2</t>
  </si>
  <si>
    <t>polished(SiC), cleaned in deionized water then ethanol</t>
  </si>
  <si>
    <t>Vacuum annealed (1200C, 20h)</t>
  </si>
  <si>
    <t>https://doi.org/10.1016/j.ijrmhm.2021.105755</t>
  </si>
  <si>
    <t>92Fig.10_Cr25.0-Mo25.0-Ta25.0-Ti25.0_1000C_160mmHg</t>
  </si>
  <si>
    <t>Cr24.875 Mo24.875 Ta24.875 Ti24.875 Y0.5</t>
  </si>
  <si>
    <t>CrTaO4 + TiO3</t>
  </si>
  <si>
    <t>92Fig.10_Cr24.875-M024.875-Ta24.875-Ti24.875-Y0.5_1000C_160mmHg</t>
  </si>
  <si>
    <t>Cr24.750 Mo24.750 Ta24.750 Ti24.750 Y1.0</t>
  </si>
  <si>
    <t>CrTaO4 + TiO4</t>
  </si>
  <si>
    <t>92Fig.10_Cr24.750-Mo24.750-Ta24.750-Ti24.750-Y1.0_1000C_160mmHg</t>
  </si>
  <si>
    <t>Ni53.76 Cr12.0 Co13.0 Al3.1 Ti4.04 W3.0 Mo2.9 Ta8.0 Hf0.2</t>
  </si>
  <si>
    <t xml:space="preserve">TiO2 + Cr2O3 </t>
  </si>
  <si>
    <t>polished (2000 grit) cleaned</t>
  </si>
  <si>
    <t>Solution treated (1180 C, 4h), aged (760C, 16h</t>
  </si>
  <si>
    <t>https://doi.org/10.1016/j.jallcom.2022.164071</t>
  </si>
  <si>
    <t>93Fig.2_Ni53.76-Cr12-Co13-Al3.1-Ti4.04-W3-Mo2.9-Ta8-Hf0.2_900C_160mmHg</t>
  </si>
  <si>
    <t>Ni54.78 Cr11.9 Co13.0 Al2.98 Ti4.12 W3.0 Mo3 Ta3.0 Nb4.0 Hf0.22</t>
  </si>
  <si>
    <t>TiO2 + Cr2O4</t>
  </si>
  <si>
    <t>93Fig.2_Ni54.78-Cr11.9-Co13-Al2.98-Ti4.12-W3-Mo3-Ta3-Nb4-Hf0.22_900C_160mmHg</t>
  </si>
  <si>
    <t>Ni55.38 Cr12.1 Co13.1 Al3.05 Ti4.08 W3.0 Mo6.0 Ta3.1 Hf0.19</t>
  </si>
  <si>
    <t>TiO2 + Cr2O5</t>
  </si>
  <si>
    <t>93Fig.2_Ni55.38-Cr12.1-Co13.1-Al3.05-Ti4.08-W3-Mo6-Ta3.1-Hf0.19_900C_160mmHg</t>
  </si>
  <si>
    <t>Ni56.11 Cr11.8 Co13.0 Al3.05 Ti3.92 W6.0 Mo2.9 Ta3.0 Hf0.22</t>
  </si>
  <si>
    <t>TiO2 + Cr2O6</t>
  </si>
  <si>
    <t>93Fig.2_Ni56.11-Cr11.8-Co13-Al3.05-Ti3.92-W6-Mo2.9-Ta3-Hf0.22_900C_160mmHg</t>
  </si>
  <si>
    <t>Ni57.06 Cr12.0 Co12.9 Al3.02 Ti4.12 W2.9 Mo2.9 Ta3.1 Hf2.0</t>
  </si>
  <si>
    <t>TiO2 + Cr2O7</t>
  </si>
  <si>
    <t>93Fig.2_Ni57.06-Cr12-Co12.9-Al3.02-Ti4.12-W2.9-Mo2.9-Ta3.1-Hf2_900C_160mmHg</t>
  </si>
  <si>
    <t>Ni58.6 Cr12.2 Co13.0 Al3.03 Ti3.96 W3.0 Mo2.9 Ta3.1 Hf0.21</t>
  </si>
  <si>
    <t>TiO2 + Cr2O8</t>
  </si>
  <si>
    <t>93Fig.2_Ni58.6-Cr12.2-Co13-Al3.03-Ti3.96-W3-Mo2.9-Ta3.1-Hf0.21_900C_160mmHg</t>
  </si>
  <si>
    <t>78Fig.2_Al0.5-Cr1.0-Ti1.0-Mo1.0_1000C_160mmHg</t>
  </si>
  <si>
    <t>80Fig.10_Co19.340-Cr21.070-Cu18.560-Fe20.940-Ni20.09_1000C_160mmHg</t>
  </si>
  <si>
    <t>88Fig.2_W28.2-Mo23.3-Ta26.5-Nb22.1_1000C_160mmHg</t>
  </si>
  <si>
    <t>88Fig.2_W22.7-Mo19.5-Ta22.2-Nb17.8-V17.8_1000C_160mmHg</t>
  </si>
  <si>
    <t>88Fig.2_W26.4-Mo18.0-Ta23.4-Nb17.1-Ti15.1_1000C_160mmHg</t>
  </si>
  <si>
    <t>89Fig.2_Al18.92-Mo10.29-Nb20.16-Ta11.32-Ti19.33-Zr19.98_900C_160mmHg</t>
  </si>
  <si>
    <t>89Fig.2_Al21.95-Mo9.92-Nb19.75-Ta11.02-Ti18.78-Zr18.58_900C_160mmHg</t>
  </si>
  <si>
    <t>89Fig.2_Al24.58-Mo9.62-Nb19.06-Ta10.74-Ti17.98-Zr18.02_900C_160mmHg</t>
  </si>
  <si>
    <t>Mass_gain_vs_time_file</t>
  </si>
  <si>
    <t>p_other_gases</t>
  </si>
  <si>
    <t>Disintegration_Time</t>
  </si>
  <si>
    <t>Recession_Rate</t>
  </si>
  <si>
    <t>Oxide_Thickness</t>
  </si>
  <si>
    <t>Oxide_Time</t>
  </si>
  <si>
    <t>Grain_Size</t>
  </si>
  <si>
    <t>Names</t>
  </si>
  <si>
    <t>affiliations</t>
  </si>
  <si>
    <t>{}</t>
  </si>
  <si>
    <t>gas_flow_rate</t>
  </si>
  <si>
    <t>shape</t>
  </si>
  <si>
    <t>height</t>
  </si>
  <si>
    <t>width</t>
  </si>
  <si>
    <t>sphere</t>
  </si>
  <si>
    <t>cuboid</t>
  </si>
  <si>
    <t>cylinder</t>
  </si>
  <si>
    <t/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</si>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</sst>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vacuum.2019.01.026" TargetMode="External"/><Relationship Id="rId13" Type="http://schemas.openxmlformats.org/officeDocument/2006/relationships/hyperlink" Target="https://doi.org/10.3390/ma11122526" TargetMode="External"/><Relationship Id="rId18" Type="http://schemas.openxmlformats.org/officeDocument/2006/relationships/hyperlink" Target="https://doi-org.ezproxy.lib.purdue.edu/10.1007/s11661-007-9398-9" TargetMode="External"/><Relationship Id="rId3" Type="http://schemas.openxmlformats.org/officeDocument/2006/relationships/hyperlink" Target="https://doi.org/10.1016/j.jallcom.2018.06.036" TargetMode="External"/><Relationship Id="rId21" Type="http://schemas.openxmlformats.org/officeDocument/2006/relationships/hyperlink" Target="https://doi.org/10.1016/0010-938X(80)90093-1" TargetMode="External"/><Relationship Id="rId7" Type="http://schemas.openxmlformats.org/officeDocument/2006/relationships/hyperlink" Target="https://doi.org/10.1016/j.jallcom.2020.154099" TargetMode="External"/><Relationship Id="rId12" Type="http://schemas.openxmlformats.org/officeDocument/2006/relationships/hyperlink" Target="https://doi.org/10.1016/j.vacuum.2019.108837" TargetMode="External"/><Relationship Id="rId17" Type="http://schemas.openxmlformats.org/officeDocument/2006/relationships/hyperlink" Target="https://doi.org/10.1007/BF00611976" TargetMode="External"/><Relationship Id="rId2" Type="http://schemas.openxmlformats.org/officeDocument/2006/relationships/hyperlink" Target="https://doi.org/10.1016/j.corsci.2019.02.011" TargetMode="External"/><Relationship Id="rId16" Type="http://schemas.openxmlformats.org/officeDocument/2006/relationships/hyperlink" Target="https://doi.org/10.1016/j.jallcom.2020.158003" TargetMode="External"/><Relationship Id="rId20" Type="http://schemas.openxmlformats.org/officeDocument/2006/relationships/hyperlink" Target="https://doi.org/10.1016/0022-5088(62)90061-9" TargetMode="External"/><Relationship Id="rId1" Type="http://schemas.openxmlformats.org/officeDocument/2006/relationships/hyperlink" Target="https://doi.org/10.1007/s11665-019-04177-x" TargetMode="External"/><Relationship Id="rId6" Type="http://schemas.openxmlformats.org/officeDocument/2006/relationships/hyperlink" Target="https://doi.org/10.3390/ma11122526" TargetMode="External"/><Relationship Id="rId11" Type="http://schemas.openxmlformats.org/officeDocument/2006/relationships/hyperlink" Target="https://doi.org/10.1016/j.jallcom.2018.06.036" TargetMode="External"/><Relationship Id="rId5" Type="http://schemas.openxmlformats.org/officeDocument/2006/relationships/hyperlink" Target="https://doi.org/10.3390/ma11122526" TargetMode="External"/><Relationship Id="rId15" Type="http://schemas.openxmlformats.org/officeDocument/2006/relationships/hyperlink" Target="https://doi.org/10.1016/j.jallcom.2020.153983" TargetMode="External"/><Relationship Id="rId10" Type="http://schemas.openxmlformats.org/officeDocument/2006/relationships/hyperlink" Target="https://doi.org/10.1016/j.jallcom.2020.153983" TargetMode="External"/><Relationship Id="rId19" Type="http://schemas.openxmlformats.org/officeDocument/2006/relationships/hyperlink" Target="https://doi.org/10.1023/B:JMSC.0000044899.40687.a6" TargetMode="External"/><Relationship Id="rId4" Type="http://schemas.openxmlformats.org/officeDocument/2006/relationships/hyperlink" Target="https://doi.org/10.1016/j.corsci.2019.07.012" TargetMode="External"/><Relationship Id="rId9" Type="http://schemas.openxmlformats.org/officeDocument/2006/relationships/hyperlink" Target="https://doi.org/10.1016/j.mtadv.2020.100104" TargetMode="External"/><Relationship Id="rId14" Type="http://schemas.openxmlformats.org/officeDocument/2006/relationships/hyperlink" Target="https://doi.org/10.1016/j.jallcom.2020.154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8"/>
  <sheetViews>
    <sheetView tabSelected="1" topLeftCell="Y1" workbookViewId="0">
      <selection activeCell="AB6" sqref="AB6"/>
    </sheetView>
  </sheetViews>
  <sheetFormatPr baseColWidth="10" defaultColWidth="8.83203125" defaultRowHeight="15" x14ac:dyDescent="0.2"/>
  <cols>
    <col min="1" max="1" width="6.1640625" bestFit="1" customWidth="1"/>
    <col min="2" max="2" width="9.1640625" bestFit="1" customWidth="1"/>
    <col min="3" max="3" width="53.83203125" bestFit="1" customWidth="1"/>
    <col min="4" max="4" width="6.1640625" bestFit="1" customWidth="1"/>
    <col min="5" max="5" width="10" bestFit="1" customWidth="1"/>
    <col min="6" max="6" width="5.5" bestFit="1" customWidth="1"/>
    <col min="7" max="7" width="12.6640625" bestFit="1" customWidth="1"/>
    <col min="8" max="8" width="9.1640625" bestFit="1" customWidth="1"/>
    <col min="9" max="9" width="7.1640625" bestFit="1" customWidth="1"/>
    <col min="10" max="10" width="9.33203125" bestFit="1" customWidth="1"/>
    <col min="11" max="11" width="11.83203125" bestFit="1" customWidth="1"/>
    <col min="12" max="12" width="19.6640625" bestFit="1" customWidth="1"/>
    <col min="13" max="13" width="21.6640625" bestFit="1" customWidth="1"/>
    <col min="14" max="14" width="17.5" bestFit="1" customWidth="1"/>
    <col min="15" max="15" width="13" bestFit="1" customWidth="1"/>
    <col min="16" max="16" width="44.5" bestFit="1" customWidth="1"/>
    <col min="17" max="17" width="13.1640625" bestFit="1" customWidth="1"/>
    <col min="18" max="18" width="17.5" bestFit="1" customWidth="1"/>
    <col min="19" max="19" width="77.33203125" bestFit="1" customWidth="1"/>
    <col min="20" max="20" width="33" bestFit="1" customWidth="1"/>
    <col min="21" max="21" width="41.1640625" bestFit="1" customWidth="1"/>
    <col min="22" max="22" width="12.6640625" bestFit="1" customWidth="1"/>
    <col min="23" max="23" width="55.6640625" bestFit="1" customWidth="1"/>
    <col min="24" max="24" width="11.1640625" bestFit="1" customWidth="1"/>
    <col min="25" max="25" width="73.6640625" bestFit="1" customWidth="1"/>
    <col min="26" max="26" width="12.6640625" bestFit="1" customWidth="1"/>
    <col min="27" max="27" width="11.83203125" bestFit="1" customWidth="1"/>
  </cols>
  <sheetData>
    <row r="1" spans="1:31" ht="16" x14ac:dyDescent="0.2">
      <c r="A1" s="3" t="s">
        <v>788</v>
      </c>
      <c r="B1" s="3" t="s">
        <v>789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782</v>
      </c>
      <c r="L1" s="3" t="s">
        <v>783</v>
      </c>
      <c r="M1" s="3" t="s">
        <v>784</v>
      </c>
      <c r="N1" s="3" t="s">
        <v>785</v>
      </c>
      <c r="O1" s="3" t="s">
        <v>786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787</v>
      </c>
      <c r="W1" s="3" t="s">
        <v>14</v>
      </c>
      <c r="X1" s="3" t="s">
        <v>15</v>
      </c>
      <c r="Y1" s="3" t="s">
        <v>781</v>
      </c>
      <c r="Z1" s="3" t="s">
        <v>791</v>
      </c>
      <c r="AA1" s="3" t="s">
        <v>792</v>
      </c>
      <c r="AB1" s="3" t="s">
        <v>799</v>
      </c>
      <c r="AC1" s="3" t="s">
        <v>794</v>
      </c>
      <c r="AD1" s="3" t="s">
        <v>793</v>
      </c>
    </row>
    <row r="2" spans="1:31" x14ac:dyDescent="0.2">
      <c r="C2" t="s">
        <v>16</v>
      </c>
      <c r="D2">
        <v>1</v>
      </c>
      <c r="E2" t="s">
        <v>17</v>
      </c>
      <c r="F2">
        <v>700</v>
      </c>
      <c r="G2" t="s">
        <v>18</v>
      </c>
      <c r="H2" t="s">
        <v>19</v>
      </c>
      <c r="I2">
        <v>760</v>
      </c>
      <c r="J2" t="s">
        <v>20</v>
      </c>
      <c r="K2" t="s">
        <v>790</v>
      </c>
      <c r="R2" t="s">
        <v>21</v>
      </c>
      <c r="S2" t="s">
        <v>22</v>
      </c>
      <c r="W2" t="s">
        <v>23</v>
      </c>
      <c r="X2">
        <v>1956</v>
      </c>
      <c r="Y2" t="s">
        <v>24</v>
      </c>
      <c r="Z2" s="1"/>
      <c r="AA2" s="4"/>
      <c r="AE2" t="str">
        <f>LOWER(AA2)</f>
        <v/>
      </c>
    </row>
    <row r="3" spans="1:31" x14ac:dyDescent="0.2">
      <c r="C3" t="s">
        <v>16</v>
      </c>
      <c r="D3">
        <v>1</v>
      </c>
      <c r="E3" t="s">
        <v>17</v>
      </c>
      <c r="F3">
        <v>800</v>
      </c>
      <c r="G3" t="s">
        <v>18</v>
      </c>
      <c r="H3" t="s">
        <v>19</v>
      </c>
      <c r="I3">
        <v>760</v>
      </c>
      <c r="J3" t="s">
        <v>20</v>
      </c>
      <c r="K3" t="s">
        <v>790</v>
      </c>
      <c r="R3" t="s">
        <v>21</v>
      </c>
      <c r="S3" t="s">
        <v>22</v>
      </c>
      <c r="W3" t="s">
        <v>23</v>
      </c>
      <c r="X3">
        <v>1956</v>
      </c>
      <c r="Y3" t="s">
        <v>25</v>
      </c>
      <c r="AE3" t="str">
        <f>LOWER(AA3)</f>
        <v/>
      </c>
    </row>
    <row r="4" spans="1:31" x14ac:dyDescent="0.2">
      <c r="C4" t="s">
        <v>16</v>
      </c>
      <c r="D4">
        <v>1</v>
      </c>
      <c r="E4" t="s">
        <v>17</v>
      </c>
      <c r="F4">
        <v>900</v>
      </c>
      <c r="G4" t="s">
        <v>18</v>
      </c>
      <c r="H4" t="s">
        <v>19</v>
      </c>
      <c r="I4">
        <v>760</v>
      </c>
      <c r="J4" t="s">
        <v>20</v>
      </c>
      <c r="K4" t="s">
        <v>790</v>
      </c>
      <c r="R4" t="s">
        <v>21</v>
      </c>
      <c r="S4" t="s">
        <v>22</v>
      </c>
      <c r="W4" t="s">
        <v>23</v>
      </c>
      <c r="X4">
        <v>1956</v>
      </c>
      <c r="Y4" t="s">
        <v>26</v>
      </c>
      <c r="AE4" t="str">
        <f>LOWER(AA4)</f>
        <v/>
      </c>
    </row>
    <row r="5" spans="1:31" x14ac:dyDescent="0.2">
      <c r="C5" t="s">
        <v>16</v>
      </c>
      <c r="D5">
        <v>1</v>
      </c>
      <c r="E5" t="s">
        <v>17</v>
      </c>
      <c r="F5">
        <v>1000</v>
      </c>
      <c r="G5" t="s">
        <v>18</v>
      </c>
      <c r="H5" t="s">
        <v>19</v>
      </c>
      <c r="I5">
        <v>760</v>
      </c>
      <c r="J5" t="s">
        <v>20</v>
      </c>
      <c r="K5" t="s">
        <v>790</v>
      </c>
      <c r="R5" t="s">
        <v>21</v>
      </c>
      <c r="S5" t="s">
        <v>22</v>
      </c>
      <c r="W5" t="s">
        <v>23</v>
      </c>
      <c r="X5">
        <v>1956</v>
      </c>
      <c r="Y5" t="s">
        <v>27</v>
      </c>
      <c r="AE5" t="str">
        <f>LOWER(AA5)</f>
        <v/>
      </c>
    </row>
    <row r="6" spans="1:31" s="5" customFormat="1" x14ac:dyDescent="0.2">
      <c r="C6" s="5" t="s">
        <v>28</v>
      </c>
      <c r="D6" s="5">
        <v>2</v>
      </c>
      <c r="E6" s="5" t="s">
        <v>17</v>
      </c>
      <c r="F6" s="5">
        <v>350</v>
      </c>
      <c r="G6" s="5" t="s">
        <v>29</v>
      </c>
      <c r="H6" s="5" t="s">
        <v>95</v>
      </c>
      <c r="I6" s="5">
        <v>760</v>
      </c>
      <c r="J6" s="5" t="s">
        <v>20</v>
      </c>
      <c r="K6" s="5" t="s">
        <v>790</v>
      </c>
      <c r="R6" s="5" t="s">
        <v>21</v>
      </c>
      <c r="S6" s="5" t="s">
        <v>30</v>
      </c>
      <c r="W6" s="5" t="s">
        <v>31</v>
      </c>
      <c r="X6" s="5">
        <v>1957</v>
      </c>
      <c r="Y6" s="5" t="s">
        <v>32</v>
      </c>
      <c r="AE6" s="5" t="str">
        <f>LOWER(AA6)</f>
        <v/>
      </c>
    </row>
    <row r="7" spans="1:31" s="5" customFormat="1" x14ac:dyDescent="0.2">
      <c r="C7" s="5" t="s">
        <v>28</v>
      </c>
      <c r="D7" s="5">
        <v>2</v>
      </c>
      <c r="E7" s="5" t="s">
        <v>17</v>
      </c>
      <c r="F7" s="5">
        <v>470</v>
      </c>
      <c r="G7" s="5" t="s">
        <v>29</v>
      </c>
      <c r="H7" s="5" t="s">
        <v>95</v>
      </c>
      <c r="I7" s="5">
        <v>760</v>
      </c>
      <c r="J7" s="5" t="s">
        <v>20</v>
      </c>
      <c r="K7" s="5" t="s">
        <v>790</v>
      </c>
      <c r="R7" s="5" t="s">
        <v>21</v>
      </c>
      <c r="S7" s="5" t="s">
        <v>30</v>
      </c>
      <c r="W7" s="5" t="s">
        <v>31</v>
      </c>
      <c r="X7" s="5">
        <v>1957</v>
      </c>
      <c r="Y7" s="5" t="s">
        <v>33</v>
      </c>
      <c r="AE7" s="5" t="str">
        <f>LOWER(AA7)</f>
        <v/>
      </c>
    </row>
    <row r="8" spans="1:31" s="5" customFormat="1" x14ac:dyDescent="0.2">
      <c r="C8" s="5" t="s">
        <v>28</v>
      </c>
      <c r="D8" s="5">
        <v>2</v>
      </c>
      <c r="E8" s="5" t="s">
        <v>17</v>
      </c>
      <c r="F8" s="5">
        <v>600</v>
      </c>
      <c r="G8" s="5" t="s">
        <v>29</v>
      </c>
      <c r="H8" s="5" t="s">
        <v>95</v>
      </c>
      <c r="I8" s="5">
        <v>760</v>
      </c>
      <c r="J8" s="5" t="s">
        <v>20</v>
      </c>
      <c r="K8" s="5" t="s">
        <v>790</v>
      </c>
      <c r="R8" s="5" t="s">
        <v>21</v>
      </c>
      <c r="S8" s="5" t="s">
        <v>30</v>
      </c>
      <c r="W8" s="5" t="s">
        <v>31</v>
      </c>
      <c r="X8" s="5">
        <v>1957</v>
      </c>
      <c r="Y8" s="5" t="s">
        <v>34</v>
      </c>
      <c r="AE8" s="5" t="str">
        <f>LOWER(AA8)</f>
        <v/>
      </c>
    </row>
    <row r="9" spans="1:31" s="5" customFormat="1" x14ac:dyDescent="0.2">
      <c r="C9" s="5" t="s">
        <v>28</v>
      </c>
      <c r="D9" s="5">
        <v>2</v>
      </c>
      <c r="E9" s="5" t="s">
        <v>17</v>
      </c>
      <c r="F9" s="5">
        <v>710</v>
      </c>
      <c r="G9" s="5" t="s">
        <v>29</v>
      </c>
      <c r="H9" s="5" t="s">
        <v>95</v>
      </c>
      <c r="I9" s="5">
        <v>760</v>
      </c>
      <c r="J9" s="5" t="s">
        <v>20</v>
      </c>
      <c r="K9" s="5" t="s">
        <v>790</v>
      </c>
      <c r="R9" s="5" t="s">
        <v>21</v>
      </c>
      <c r="S9" s="5" t="s">
        <v>30</v>
      </c>
      <c r="W9" s="5" t="s">
        <v>31</v>
      </c>
      <c r="X9" s="5">
        <v>1957</v>
      </c>
      <c r="Y9" s="5" t="s">
        <v>35</v>
      </c>
      <c r="AE9" s="5" t="str">
        <f>LOWER(AA9)</f>
        <v/>
      </c>
    </row>
    <row r="10" spans="1:31" s="5" customFormat="1" x14ac:dyDescent="0.2">
      <c r="C10" s="5" t="s">
        <v>28</v>
      </c>
      <c r="D10" s="5">
        <v>2</v>
      </c>
      <c r="E10" s="5" t="s">
        <v>17</v>
      </c>
      <c r="F10" s="5">
        <v>800</v>
      </c>
      <c r="G10" s="5" t="s">
        <v>29</v>
      </c>
      <c r="H10" s="5" t="s">
        <v>95</v>
      </c>
      <c r="I10" s="5">
        <v>760</v>
      </c>
      <c r="J10" s="5" t="s">
        <v>20</v>
      </c>
      <c r="K10" s="5" t="s">
        <v>790</v>
      </c>
      <c r="R10" s="5" t="s">
        <v>21</v>
      </c>
      <c r="S10" s="5" t="s">
        <v>30</v>
      </c>
      <c r="W10" s="5" t="s">
        <v>31</v>
      </c>
      <c r="X10" s="5">
        <v>1957</v>
      </c>
      <c r="Y10" s="5" t="s">
        <v>36</v>
      </c>
      <c r="AE10" s="5" t="str">
        <f>LOWER(AA10)</f>
        <v/>
      </c>
    </row>
    <row r="11" spans="1:31" x14ac:dyDescent="0.2">
      <c r="C11" t="s">
        <v>28</v>
      </c>
      <c r="D11">
        <v>2</v>
      </c>
      <c r="E11" t="s">
        <v>17</v>
      </c>
      <c r="F11">
        <v>900</v>
      </c>
      <c r="G11" t="s">
        <v>18</v>
      </c>
      <c r="H11" t="s">
        <v>37</v>
      </c>
      <c r="I11">
        <v>760</v>
      </c>
      <c r="J11" t="s">
        <v>38</v>
      </c>
      <c r="K11" t="s">
        <v>790</v>
      </c>
      <c r="R11" t="s">
        <v>21</v>
      </c>
      <c r="S11" t="s">
        <v>30</v>
      </c>
      <c r="W11" t="s">
        <v>31</v>
      </c>
      <c r="X11">
        <v>1957</v>
      </c>
      <c r="Y11" t="s">
        <v>39</v>
      </c>
      <c r="AE11" t="str">
        <f>LOWER(AA11)</f>
        <v/>
      </c>
    </row>
    <row r="12" spans="1:31" x14ac:dyDescent="0.2">
      <c r="C12" t="s">
        <v>28</v>
      </c>
      <c r="D12">
        <v>2</v>
      </c>
      <c r="E12" t="s">
        <v>17</v>
      </c>
      <c r="F12">
        <v>1000</v>
      </c>
      <c r="G12" t="s">
        <v>18</v>
      </c>
      <c r="H12" t="s">
        <v>37</v>
      </c>
      <c r="I12">
        <v>760</v>
      </c>
      <c r="J12" t="s">
        <v>38</v>
      </c>
      <c r="K12" t="s">
        <v>790</v>
      </c>
      <c r="R12" t="s">
        <v>21</v>
      </c>
      <c r="S12" t="s">
        <v>30</v>
      </c>
      <c r="W12" t="s">
        <v>31</v>
      </c>
      <c r="X12">
        <v>1957</v>
      </c>
      <c r="Y12" t="s">
        <v>40</v>
      </c>
      <c r="AE12" t="str">
        <f>LOWER(AA12)</f>
        <v/>
      </c>
    </row>
    <row r="13" spans="1:31" s="5" customFormat="1" x14ac:dyDescent="0.2">
      <c r="C13" s="5" t="s">
        <v>28</v>
      </c>
      <c r="D13" s="5">
        <v>2</v>
      </c>
      <c r="E13" s="5" t="s">
        <v>17</v>
      </c>
      <c r="F13" s="5">
        <v>1050</v>
      </c>
      <c r="G13" s="5" t="s">
        <v>18</v>
      </c>
      <c r="H13" s="5" t="s">
        <v>37</v>
      </c>
      <c r="I13" s="5">
        <v>760</v>
      </c>
      <c r="J13" s="5" t="s">
        <v>38</v>
      </c>
      <c r="K13" s="5" t="s">
        <v>790</v>
      </c>
      <c r="R13" s="5" t="s">
        <v>21</v>
      </c>
      <c r="S13" s="5" t="s">
        <v>30</v>
      </c>
      <c r="W13" s="5" t="s">
        <v>31</v>
      </c>
      <c r="X13" s="5">
        <v>1957</v>
      </c>
      <c r="Y13" s="5" t="s">
        <v>41</v>
      </c>
      <c r="AE13" s="5" t="str">
        <f>LOWER(AA13)</f>
        <v/>
      </c>
    </row>
    <row r="14" spans="1:31" s="5" customFormat="1" x14ac:dyDescent="0.2">
      <c r="C14" s="5" t="s">
        <v>28</v>
      </c>
      <c r="D14" s="5">
        <v>2</v>
      </c>
      <c r="E14" s="5" t="s">
        <v>17</v>
      </c>
      <c r="F14" s="5">
        <v>1100</v>
      </c>
      <c r="G14" s="5" t="s">
        <v>18</v>
      </c>
      <c r="H14" s="5" t="s">
        <v>37</v>
      </c>
      <c r="I14" s="5">
        <v>760</v>
      </c>
      <c r="J14" s="5" t="s">
        <v>38</v>
      </c>
      <c r="K14" s="5" t="s">
        <v>790</v>
      </c>
      <c r="R14" s="5" t="s">
        <v>21</v>
      </c>
      <c r="S14" s="5" t="s">
        <v>30</v>
      </c>
      <c r="W14" s="5" t="s">
        <v>31</v>
      </c>
      <c r="X14" s="5">
        <v>1957</v>
      </c>
      <c r="Y14" s="5" t="s">
        <v>42</v>
      </c>
      <c r="AE14" s="5" t="str">
        <f>LOWER(AA14)</f>
        <v/>
      </c>
    </row>
    <row r="15" spans="1:31" x14ac:dyDescent="0.2">
      <c r="C15" t="s">
        <v>28</v>
      </c>
      <c r="D15">
        <v>2</v>
      </c>
      <c r="E15" t="s">
        <v>17</v>
      </c>
      <c r="F15">
        <v>1200</v>
      </c>
      <c r="G15" t="s">
        <v>18</v>
      </c>
      <c r="H15" t="s">
        <v>37</v>
      </c>
      <c r="I15">
        <v>760</v>
      </c>
      <c r="J15" t="s">
        <v>38</v>
      </c>
      <c r="K15" t="s">
        <v>790</v>
      </c>
      <c r="R15" t="s">
        <v>21</v>
      </c>
      <c r="S15" t="s">
        <v>30</v>
      </c>
      <c r="W15" t="s">
        <v>31</v>
      </c>
      <c r="X15">
        <v>1957</v>
      </c>
      <c r="Y15" t="s">
        <v>43</v>
      </c>
      <c r="AE15" t="str">
        <f>LOWER(AA15)</f>
        <v/>
      </c>
    </row>
    <row r="16" spans="1:31" x14ac:dyDescent="0.2">
      <c r="C16" t="s">
        <v>44</v>
      </c>
      <c r="D16">
        <v>3</v>
      </c>
      <c r="E16" t="s">
        <v>17</v>
      </c>
      <c r="F16">
        <v>560</v>
      </c>
      <c r="G16" t="s">
        <v>18</v>
      </c>
      <c r="H16" t="s">
        <v>37</v>
      </c>
      <c r="I16">
        <v>420</v>
      </c>
      <c r="J16" t="s">
        <v>38</v>
      </c>
      <c r="K16" t="s">
        <v>790</v>
      </c>
      <c r="R16" t="s">
        <v>21</v>
      </c>
      <c r="S16" t="s">
        <v>45</v>
      </c>
      <c r="W16" t="s">
        <v>46</v>
      </c>
      <c r="X16">
        <v>1969</v>
      </c>
      <c r="Y16" t="s">
        <v>47</v>
      </c>
      <c r="AA16" t="s">
        <v>795</v>
      </c>
      <c r="AB16">
        <v>6.35</v>
      </c>
      <c r="AC16">
        <v>6.35</v>
      </c>
      <c r="AD16">
        <v>6.35</v>
      </c>
    </row>
    <row r="17" spans="3:30" x14ac:dyDescent="0.2">
      <c r="C17" t="s">
        <v>44</v>
      </c>
      <c r="D17">
        <v>3</v>
      </c>
      <c r="E17" t="s">
        <v>17</v>
      </c>
      <c r="F17">
        <v>600</v>
      </c>
      <c r="G17" t="s">
        <v>18</v>
      </c>
      <c r="H17" t="s">
        <v>37</v>
      </c>
      <c r="I17">
        <v>420</v>
      </c>
      <c r="J17" t="s">
        <v>38</v>
      </c>
      <c r="K17" t="s">
        <v>790</v>
      </c>
      <c r="R17" t="s">
        <v>21</v>
      </c>
      <c r="S17" t="s">
        <v>45</v>
      </c>
      <c r="W17" t="s">
        <v>46</v>
      </c>
      <c r="X17">
        <v>1969</v>
      </c>
      <c r="Y17" t="s">
        <v>48</v>
      </c>
      <c r="AA17" t="s">
        <v>795</v>
      </c>
      <c r="AB17">
        <v>6.35</v>
      </c>
      <c r="AC17">
        <v>6.35</v>
      </c>
      <c r="AD17">
        <v>6.35</v>
      </c>
    </row>
    <row r="18" spans="3:30" x14ac:dyDescent="0.2">
      <c r="C18" t="s">
        <v>44</v>
      </c>
      <c r="D18">
        <v>3</v>
      </c>
      <c r="E18" t="s">
        <v>17</v>
      </c>
      <c r="F18">
        <v>625</v>
      </c>
      <c r="G18" t="s">
        <v>18</v>
      </c>
      <c r="H18" t="s">
        <v>37</v>
      </c>
      <c r="I18">
        <v>420</v>
      </c>
      <c r="J18" t="s">
        <v>38</v>
      </c>
      <c r="K18" t="s">
        <v>790</v>
      </c>
      <c r="R18" t="s">
        <v>21</v>
      </c>
      <c r="S18" t="s">
        <v>45</v>
      </c>
      <c r="W18" t="s">
        <v>46</v>
      </c>
      <c r="X18">
        <v>1969</v>
      </c>
      <c r="Y18" t="s">
        <v>49</v>
      </c>
      <c r="AA18" t="s">
        <v>795</v>
      </c>
      <c r="AB18">
        <v>6.35</v>
      </c>
      <c r="AC18">
        <v>6.35</v>
      </c>
      <c r="AD18">
        <v>6.35</v>
      </c>
    </row>
    <row r="19" spans="3:30" x14ac:dyDescent="0.2">
      <c r="C19" t="s">
        <v>44</v>
      </c>
      <c r="D19">
        <v>3</v>
      </c>
      <c r="E19" t="s">
        <v>17</v>
      </c>
      <c r="F19">
        <v>650</v>
      </c>
      <c r="G19" t="s">
        <v>18</v>
      </c>
      <c r="H19" t="s">
        <v>37</v>
      </c>
      <c r="I19">
        <v>420</v>
      </c>
      <c r="J19" t="s">
        <v>38</v>
      </c>
      <c r="K19" t="s">
        <v>790</v>
      </c>
      <c r="R19" t="s">
        <v>21</v>
      </c>
      <c r="S19" t="s">
        <v>45</v>
      </c>
      <c r="W19" t="s">
        <v>46</v>
      </c>
      <c r="X19">
        <v>1969</v>
      </c>
      <c r="Y19" t="s">
        <v>50</v>
      </c>
      <c r="AA19" t="s">
        <v>795</v>
      </c>
      <c r="AB19">
        <v>6.35</v>
      </c>
      <c r="AC19">
        <v>6.35</v>
      </c>
      <c r="AD19">
        <v>6.35</v>
      </c>
    </row>
    <row r="20" spans="3:30" x14ac:dyDescent="0.2">
      <c r="C20" t="s">
        <v>44</v>
      </c>
      <c r="D20">
        <v>3</v>
      </c>
      <c r="E20" t="s">
        <v>17</v>
      </c>
      <c r="F20">
        <v>750</v>
      </c>
      <c r="G20" t="s">
        <v>18</v>
      </c>
      <c r="H20" t="s">
        <v>37</v>
      </c>
      <c r="I20">
        <v>420</v>
      </c>
      <c r="J20" t="s">
        <v>38</v>
      </c>
      <c r="K20" t="s">
        <v>790</v>
      </c>
      <c r="R20" t="s">
        <v>21</v>
      </c>
      <c r="S20" t="s">
        <v>45</v>
      </c>
      <c r="W20" t="s">
        <v>46</v>
      </c>
      <c r="X20">
        <v>1969</v>
      </c>
      <c r="Y20" t="s">
        <v>51</v>
      </c>
      <c r="AA20" t="s">
        <v>795</v>
      </c>
      <c r="AB20">
        <v>6.35</v>
      </c>
      <c r="AC20">
        <v>6.35</v>
      </c>
      <c r="AD20">
        <v>6.35</v>
      </c>
    </row>
    <row r="21" spans="3:30" x14ac:dyDescent="0.2">
      <c r="C21" t="s">
        <v>44</v>
      </c>
      <c r="D21">
        <v>3</v>
      </c>
      <c r="E21" t="s">
        <v>17</v>
      </c>
      <c r="F21">
        <v>825</v>
      </c>
      <c r="G21" t="s">
        <v>18</v>
      </c>
      <c r="H21" t="s">
        <v>37</v>
      </c>
      <c r="I21">
        <v>420</v>
      </c>
      <c r="J21" t="s">
        <v>38</v>
      </c>
      <c r="K21" t="s">
        <v>790</v>
      </c>
      <c r="R21" t="s">
        <v>21</v>
      </c>
      <c r="S21" t="s">
        <v>45</v>
      </c>
      <c r="W21" t="s">
        <v>46</v>
      </c>
      <c r="X21">
        <v>1969</v>
      </c>
      <c r="Y21" t="s">
        <v>52</v>
      </c>
      <c r="AA21" t="s">
        <v>795</v>
      </c>
      <c r="AB21">
        <v>6.35</v>
      </c>
      <c r="AC21">
        <v>6.35</v>
      </c>
      <c r="AD21">
        <v>6.35</v>
      </c>
    </row>
    <row r="22" spans="3:30" x14ac:dyDescent="0.2">
      <c r="C22" t="s">
        <v>44</v>
      </c>
      <c r="D22">
        <v>3</v>
      </c>
      <c r="E22" t="s">
        <v>17</v>
      </c>
      <c r="F22">
        <v>925</v>
      </c>
      <c r="G22" t="s">
        <v>18</v>
      </c>
      <c r="H22" t="s">
        <v>37</v>
      </c>
      <c r="I22">
        <v>420</v>
      </c>
      <c r="J22" t="s">
        <v>38</v>
      </c>
      <c r="K22" t="s">
        <v>790</v>
      </c>
      <c r="R22" t="s">
        <v>21</v>
      </c>
      <c r="S22" t="s">
        <v>45</v>
      </c>
      <c r="W22" t="s">
        <v>46</v>
      </c>
      <c r="X22">
        <v>1969</v>
      </c>
      <c r="Y22" t="s">
        <v>53</v>
      </c>
      <c r="AA22" t="s">
        <v>795</v>
      </c>
      <c r="AB22">
        <v>6.35</v>
      </c>
      <c r="AC22">
        <v>6.35</v>
      </c>
      <c r="AD22">
        <v>6.35</v>
      </c>
    </row>
    <row r="23" spans="3:30" x14ac:dyDescent="0.2">
      <c r="C23" t="s">
        <v>54</v>
      </c>
      <c r="D23">
        <v>4</v>
      </c>
      <c r="E23" t="s">
        <v>17</v>
      </c>
      <c r="F23">
        <v>800</v>
      </c>
      <c r="G23" t="s">
        <v>18</v>
      </c>
      <c r="H23" t="s">
        <v>37</v>
      </c>
      <c r="I23">
        <v>1</v>
      </c>
      <c r="J23" t="s">
        <v>55</v>
      </c>
      <c r="K23" t="s">
        <v>790</v>
      </c>
      <c r="R23" t="s">
        <v>21</v>
      </c>
      <c r="S23" t="s">
        <v>56</v>
      </c>
      <c r="W23" t="s">
        <v>57</v>
      </c>
      <c r="X23">
        <v>1961</v>
      </c>
      <c r="Y23" t="s">
        <v>58</v>
      </c>
      <c r="AA23" t="s">
        <v>796</v>
      </c>
      <c r="AB23">
        <v>15</v>
      </c>
      <c r="AC23">
        <v>10</v>
      </c>
      <c r="AD23">
        <v>2</v>
      </c>
    </row>
    <row r="24" spans="3:30" x14ac:dyDescent="0.2">
      <c r="C24" t="s">
        <v>54</v>
      </c>
      <c r="D24">
        <v>4</v>
      </c>
      <c r="E24" t="s">
        <v>17</v>
      </c>
      <c r="F24">
        <v>850</v>
      </c>
      <c r="G24" t="s">
        <v>18</v>
      </c>
      <c r="H24" t="s">
        <v>37</v>
      </c>
      <c r="I24">
        <v>1</v>
      </c>
      <c r="J24" t="s">
        <v>55</v>
      </c>
      <c r="K24" t="s">
        <v>790</v>
      </c>
      <c r="R24" t="s">
        <v>21</v>
      </c>
      <c r="S24" t="s">
        <v>56</v>
      </c>
      <c r="W24" t="s">
        <v>57</v>
      </c>
      <c r="X24">
        <v>1961</v>
      </c>
      <c r="Y24" t="s">
        <v>59</v>
      </c>
      <c r="AA24" t="s">
        <v>796</v>
      </c>
      <c r="AB24">
        <v>15</v>
      </c>
      <c r="AC24">
        <v>10</v>
      </c>
      <c r="AD24">
        <v>2</v>
      </c>
    </row>
    <row r="25" spans="3:30" x14ac:dyDescent="0.2">
      <c r="C25" t="s">
        <v>54</v>
      </c>
      <c r="D25">
        <v>4</v>
      </c>
      <c r="E25" t="s">
        <v>17</v>
      </c>
      <c r="F25">
        <v>900</v>
      </c>
      <c r="G25" t="s">
        <v>18</v>
      </c>
      <c r="H25" t="s">
        <v>37</v>
      </c>
      <c r="I25">
        <v>1</v>
      </c>
      <c r="J25" t="s">
        <v>55</v>
      </c>
      <c r="K25" t="s">
        <v>790</v>
      </c>
      <c r="R25" t="s">
        <v>21</v>
      </c>
      <c r="S25" t="s">
        <v>56</v>
      </c>
      <c r="W25" t="s">
        <v>57</v>
      </c>
      <c r="X25">
        <v>1961</v>
      </c>
      <c r="Y25" t="s">
        <v>60</v>
      </c>
      <c r="AA25" t="s">
        <v>796</v>
      </c>
      <c r="AB25">
        <v>15</v>
      </c>
      <c r="AC25">
        <v>10</v>
      </c>
      <c r="AD25">
        <v>2</v>
      </c>
    </row>
    <row r="26" spans="3:30" x14ac:dyDescent="0.2">
      <c r="C26" t="s">
        <v>54</v>
      </c>
      <c r="D26">
        <v>4</v>
      </c>
      <c r="E26" t="s">
        <v>17</v>
      </c>
      <c r="F26">
        <v>950</v>
      </c>
      <c r="G26" t="s">
        <v>18</v>
      </c>
      <c r="H26" t="s">
        <v>37</v>
      </c>
      <c r="I26">
        <v>1</v>
      </c>
      <c r="J26" t="s">
        <v>55</v>
      </c>
      <c r="K26" t="s">
        <v>790</v>
      </c>
      <c r="R26" t="s">
        <v>21</v>
      </c>
      <c r="S26" t="s">
        <v>56</v>
      </c>
      <c r="W26" t="s">
        <v>57</v>
      </c>
      <c r="X26">
        <v>1961</v>
      </c>
      <c r="Y26" t="s">
        <v>61</v>
      </c>
      <c r="AA26" t="s">
        <v>796</v>
      </c>
      <c r="AB26">
        <v>15</v>
      </c>
      <c r="AC26">
        <v>10</v>
      </c>
      <c r="AD26">
        <v>2</v>
      </c>
    </row>
    <row r="27" spans="3:30" x14ac:dyDescent="0.2">
      <c r="C27" t="s">
        <v>54</v>
      </c>
      <c r="D27">
        <v>4</v>
      </c>
      <c r="E27" t="s">
        <v>17</v>
      </c>
      <c r="F27">
        <v>1000</v>
      </c>
      <c r="G27" t="s">
        <v>18</v>
      </c>
      <c r="H27" t="s">
        <v>37</v>
      </c>
      <c r="I27">
        <v>1</v>
      </c>
      <c r="J27" t="s">
        <v>55</v>
      </c>
      <c r="K27" t="s">
        <v>790</v>
      </c>
      <c r="R27" t="s">
        <v>21</v>
      </c>
      <c r="S27" t="s">
        <v>56</v>
      </c>
      <c r="W27" t="s">
        <v>57</v>
      </c>
      <c r="X27">
        <v>1961</v>
      </c>
      <c r="Y27" t="s">
        <v>62</v>
      </c>
      <c r="AA27" t="s">
        <v>796</v>
      </c>
      <c r="AB27">
        <v>15</v>
      </c>
      <c r="AC27">
        <v>10</v>
      </c>
      <c r="AD27">
        <v>2</v>
      </c>
    </row>
    <row r="28" spans="3:30" x14ac:dyDescent="0.2">
      <c r="C28" t="s">
        <v>54</v>
      </c>
      <c r="D28">
        <v>4</v>
      </c>
      <c r="E28" t="s">
        <v>17</v>
      </c>
      <c r="F28">
        <v>1100</v>
      </c>
      <c r="G28" t="s">
        <v>18</v>
      </c>
      <c r="H28" t="s">
        <v>37</v>
      </c>
      <c r="I28">
        <v>1</v>
      </c>
      <c r="J28" t="s">
        <v>55</v>
      </c>
      <c r="K28" t="s">
        <v>790</v>
      </c>
      <c r="R28" t="s">
        <v>21</v>
      </c>
      <c r="S28" t="s">
        <v>56</v>
      </c>
      <c r="W28" t="s">
        <v>57</v>
      </c>
      <c r="X28">
        <v>1961</v>
      </c>
      <c r="Y28" t="s">
        <v>63</v>
      </c>
      <c r="AA28" t="s">
        <v>796</v>
      </c>
      <c r="AB28">
        <v>15</v>
      </c>
      <c r="AC28">
        <v>10</v>
      </c>
      <c r="AD28">
        <v>2</v>
      </c>
    </row>
    <row r="29" spans="3:30" x14ac:dyDescent="0.2">
      <c r="C29" t="s">
        <v>54</v>
      </c>
      <c r="D29">
        <v>4</v>
      </c>
      <c r="E29" t="s">
        <v>17</v>
      </c>
      <c r="F29">
        <v>1200</v>
      </c>
      <c r="G29" t="s">
        <v>18</v>
      </c>
      <c r="H29" t="s">
        <v>37</v>
      </c>
      <c r="I29">
        <v>1</v>
      </c>
      <c r="J29" t="s">
        <v>55</v>
      </c>
      <c r="K29" t="s">
        <v>790</v>
      </c>
      <c r="R29" t="s">
        <v>21</v>
      </c>
      <c r="S29" t="s">
        <v>56</v>
      </c>
      <c r="W29" t="s">
        <v>57</v>
      </c>
      <c r="X29">
        <v>1961</v>
      </c>
      <c r="Y29" t="s">
        <v>64</v>
      </c>
      <c r="AA29" t="s">
        <v>796</v>
      </c>
      <c r="AB29">
        <v>15</v>
      </c>
      <c r="AC29">
        <v>10</v>
      </c>
      <c r="AD29">
        <v>2</v>
      </c>
    </row>
    <row r="30" spans="3:30" x14ac:dyDescent="0.2">
      <c r="C30" t="s">
        <v>54</v>
      </c>
      <c r="D30">
        <v>5</v>
      </c>
      <c r="E30" t="s">
        <v>17</v>
      </c>
      <c r="F30">
        <v>303</v>
      </c>
      <c r="G30" t="s">
        <v>29</v>
      </c>
      <c r="H30" t="s">
        <v>37</v>
      </c>
      <c r="I30">
        <v>1E-4</v>
      </c>
      <c r="J30" t="s">
        <v>20</v>
      </c>
      <c r="K30" t="s">
        <v>790</v>
      </c>
      <c r="R30" t="s">
        <v>21</v>
      </c>
      <c r="S30" t="s">
        <v>65</v>
      </c>
      <c r="W30" t="s">
        <v>66</v>
      </c>
      <c r="X30">
        <v>1958</v>
      </c>
      <c r="Y30" t="s">
        <v>67</v>
      </c>
      <c r="AA30" t="s">
        <v>796</v>
      </c>
      <c r="AB30">
        <v>30</v>
      </c>
      <c r="AC30">
        <v>10</v>
      </c>
      <c r="AD30">
        <v>0.5</v>
      </c>
    </row>
    <row r="31" spans="3:30" x14ac:dyDescent="0.2">
      <c r="C31" t="s">
        <v>54</v>
      </c>
      <c r="D31">
        <v>5</v>
      </c>
      <c r="E31" t="s">
        <v>17</v>
      </c>
      <c r="F31">
        <v>403</v>
      </c>
      <c r="G31" t="s">
        <v>29</v>
      </c>
      <c r="H31" t="s">
        <v>37</v>
      </c>
      <c r="I31">
        <v>1E-4</v>
      </c>
      <c r="J31" t="s">
        <v>20</v>
      </c>
      <c r="K31" t="s">
        <v>790</v>
      </c>
      <c r="R31" t="s">
        <v>21</v>
      </c>
      <c r="S31" t="s">
        <v>65</v>
      </c>
      <c r="W31" t="s">
        <v>66</v>
      </c>
      <c r="X31">
        <v>1958</v>
      </c>
      <c r="Y31" t="s">
        <v>68</v>
      </c>
      <c r="AA31" t="s">
        <v>796</v>
      </c>
      <c r="AB31">
        <v>30</v>
      </c>
      <c r="AC31">
        <v>10</v>
      </c>
      <c r="AD31">
        <v>0.5</v>
      </c>
    </row>
    <row r="32" spans="3:30" x14ac:dyDescent="0.2">
      <c r="C32" t="s">
        <v>54</v>
      </c>
      <c r="D32">
        <v>5</v>
      </c>
      <c r="E32" t="s">
        <v>17</v>
      </c>
      <c r="F32">
        <v>511</v>
      </c>
      <c r="G32" t="s">
        <v>29</v>
      </c>
      <c r="H32" t="s">
        <v>37</v>
      </c>
      <c r="I32">
        <v>1E-4</v>
      </c>
      <c r="J32" t="s">
        <v>20</v>
      </c>
      <c r="K32" t="s">
        <v>790</v>
      </c>
      <c r="R32" t="s">
        <v>21</v>
      </c>
      <c r="S32" t="s">
        <v>65</v>
      </c>
      <c r="W32" t="s">
        <v>66</v>
      </c>
      <c r="X32">
        <v>1958</v>
      </c>
      <c r="Y32" t="s">
        <v>69</v>
      </c>
      <c r="AA32" t="s">
        <v>796</v>
      </c>
      <c r="AB32">
        <v>30</v>
      </c>
      <c r="AC32">
        <v>10</v>
      </c>
      <c r="AD32">
        <v>0.5</v>
      </c>
    </row>
    <row r="33" spans="3:31" x14ac:dyDescent="0.2">
      <c r="C33" t="s">
        <v>54</v>
      </c>
      <c r="D33">
        <v>5</v>
      </c>
      <c r="E33" t="s">
        <v>17</v>
      </c>
      <c r="F33">
        <v>590</v>
      </c>
      <c r="G33" t="s">
        <v>29</v>
      </c>
      <c r="H33" t="s">
        <v>37</v>
      </c>
      <c r="I33">
        <v>1E-4</v>
      </c>
      <c r="J33" t="s">
        <v>20</v>
      </c>
      <c r="K33" t="s">
        <v>790</v>
      </c>
      <c r="R33" t="s">
        <v>21</v>
      </c>
      <c r="S33" t="s">
        <v>65</v>
      </c>
      <c r="W33" t="s">
        <v>66</v>
      </c>
      <c r="X33">
        <v>1958</v>
      </c>
      <c r="Y33" t="s">
        <v>70</v>
      </c>
      <c r="AA33" t="s">
        <v>796</v>
      </c>
      <c r="AB33">
        <v>30</v>
      </c>
      <c r="AC33">
        <v>10</v>
      </c>
      <c r="AD33">
        <v>0.5</v>
      </c>
    </row>
    <row r="34" spans="3:31" x14ac:dyDescent="0.2">
      <c r="C34" t="s">
        <v>54</v>
      </c>
      <c r="D34">
        <v>5</v>
      </c>
      <c r="E34" t="s">
        <v>17</v>
      </c>
      <c r="F34">
        <v>667</v>
      </c>
      <c r="G34" t="s">
        <v>29</v>
      </c>
      <c r="H34" t="s">
        <v>37</v>
      </c>
      <c r="I34">
        <v>1E-4</v>
      </c>
      <c r="J34" t="s">
        <v>20</v>
      </c>
      <c r="K34" t="s">
        <v>790</v>
      </c>
      <c r="R34" t="s">
        <v>21</v>
      </c>
      <c r="S34" t="s">
        <v>65</v>
      </c>
      <c r="W34" t="s">
        <v>66</v>
      </c>
      <c r="X34">
        <v>1958</v>
      </c>
      <c r="Y34" t="s">
        <v>71</v>
      </c>
      <c r="AA34" t="s">
        <v>796</v>
      </c>
      <c r="AB34">
        <v>30</v>
      </c>
      <c r="AC34">
        <v>10</v>
      </c>
      <c r="AD34">
        <v>0.5</v>
      </c>
    </row>
    <row r="35" spans="3:31" x14ac:dyDescent="0.2">
      <c r="C35" t="s">
        <v>54</v>
      </c>
      <c r="D35">
        <v>5</v>
      </c>
      <c r="E35" t="s">
        <v>17</v>
      </c>
      <c r="F35">
        <v>707</v>
      </c>
      <c r="G35" t="s">
        <v>29</v>
      </c>
      <c r="H35" t="s">
        <v>37</v>
      </c>
      <c r="I35">
        <v>1E-4</v>
      </c>
      <c r="J35" t="s">
        <v>20</v>
      </c>
      <c r="K35" t="s">
        <v>790</v>
      </c>
      <c r="R35" t="s">
        <v>21</v>
      </c>
      <c r="S35" t="s">
        <v>65</v>
      </c>
      <c r="W35" t="s">
        <v>66</v>
      </c>
      <c r="X35">
        <v>1958</v>
      </c>
      <c r="Y35" t="s">
        <v>72</v>
      </c>
      <c r="AA35" t="s">
        <v>796</v>
      </c>
      <c r="AB35">
        <v>30</v>
      </c>
      <c r="AC35">
        <v>10</v>
      </c>
      <c r="AD35">
        <v>0.5</v>
      </c>
    </row>
    <row r="36" spans="3:31" x14ac:dyDescent="0.2">
      <c r="C36" t="s">
        <v>54</v>
      </c>
      <c r="D36">
        <v>5</v>
      </c>
      <c r="E36" t="s">
        <v>17</v>
      </c>
      <c r="F36">
        <v>767</v>
      </c>
      <c r="G36" t="s">
        <v>29</v>
      </c>
      <c r="H36" t="s">
        <v>37</v>
      </c>
      <c r="I36">
        <v>1E-4</v>
      </c>
      <c r="J36" t="s">
        <v>20</v>
      </c>
      <c r="K36" t="s">
        <v>790</v>
      </c>
      <c r="R36" t="s">
        <v>21</v>
      </c>
      <c r="S36" t="s">
        <v>65</v>
      </c>
      <c r="W36" t="s">
        <v>66</v>
      </c>
      <c r="X36">
        <v>1958</v>
      </c>
      <c r="Y36" t="s">
        <v>73</v>
      </c>
      <c r="AA36" t="s">
        <v>796</v>
      </c>
      <c r="AB36">
        <v>30</v>
      </c>
      <c r="AC36">
        <v>10</v>
      </c>
      <c r="AD36">
        <v>0.5</v>
      </c>
    </row>
    <row r="37" spans="3:31" x14ac:dyDescent="0.2">
      <c r="C37" t="s">
        <v>54</v>
      </c>
      <c r="D37">
        <v>5</v>
      </c>
      <c r="E37" t="s">
        <v>17</v>
      </c>
      <c r="F37">
        <v>812</v>
      </c>
      <c r="G37" t="s">
        <v>29</v>
      </c>
      <c r="H37" t="s">
        <v>37</v>
      </c>
      <c r="I37">
        <v>1E-4</v>
      </c>
      <c r="J37" t="s">
        <v>20</v>
      </c>
      <c r="K37" t="s">
        <v>790</v>
      </c>
      <c r="R37" t="s">
        <v>21</v>
      </c>
      <c r="S37" t="s">
        <v>65</v>
      </c>
      <c r="W37" t="s">
        <v>66</v>
      </c>
      <c r="X37">
        <v>1958</v>
      </c>
      <c r="Y37" t="s">
        <v>74</v>
      </c>
      <c r="AA37" t="s">
        <v>796</v>
      </c>
      <c r="AB37">
        <v>30</v>
      </c>
      <c r="AC37">
        <v>10</v>
      </c>
      <c r="AD37">
        <v>0.5</v>
      </c>
    </row>
    <row r="38" spans="3:31" x14ac:dyDescent="0.2">
      <c r="C38" t="s">
        <v>54</v>
      </c>
      <c r="D38">
        <v>5</v>
      </c>
      <c r="E38" t="s">
        <v>17</v>
      </c>
      <c r="F38">
        <v>905</v>
      </c>
      <c r="G38" t="s">
        <v>29</v>
      </c>
      <c r="H38" t="s">
        <v>37</v>
      </c>
      <c r="I38">
        <v>1E-4</v>
      </c>
      <c r="J38" t="s">
        <v>20</v>
      </c>
      <c r="K38" t="s">
        <v>790</v>
      </c>
      <c r="R38" t="s">
        <v>21</v>
      </c>
      <c r="S38" t="s">
        <v>65</v>
      </c>
      <c r="W38" t="s">
        <v>66</v>
      </c>
      <c r="X38">
        <v>1958</v>
      </c>
      <c r="Y38" t="s">
        <v>75</v>
      </c>
      <c r="AA38" t="s">
        <v>796</v>
      </c>
      <c r="AB38">
        <v>30</v>
      </c>
      <c r="AC38">
        <v>10</v>
      </c>
      <c r="AD38">
        <v>0.5</v>
      </c>
    </row>
    <row r="39" spans="3:31" x14ac:dyDescent="0.2">
      <c r="C39" t="s">
        <v>54</v>
      </c>
      <c r="D39">
        <v>5</v>
      </c>
      <c r="E39" t="s">
        <v>17</v>
      </c>
      <c r="F39">
        <v>995</v>
      </c>
      <c r="G39" t="s">
        <v>29</v>
      </c>
      <c r="H39" t="s">
        <v>37</v>
      </c>
      <c r="I39">
        <v>1E-4</v>
      </c>
      <c r="J39" t="s">
        <v>20</v>
      </c>
      <c r="K39" t="s">
        <v>790</v>
      </c>
      <c r="R39" t="s">
        <v>21</v>
      </c>
      <c r="S39" t="s">
        <v>65</v>
      </c>
      <c r="W39" t="s">
        <v>76</v>
      </c>
      <c r="X39">
        <v>1958</v>
      </c>
      <c r="Y39" t="s">
        <v>77</v>
      </c>
      <c r="AA39" t="s">
        <v>796</v>
      </c>
      <c r="AB39">
        <v>30</v>
      </c>
      <c r="AC39">
        <v>10</v>
      </c>
      <c r="AD39">
        <v>0.5</v>
      </c>
    </row>
    <row r="40" spans="3:31" x14ac:dyDescent="0.2">
      <c r="C40" t="s">
        <v>78</v>
      </c>
      <c r="D40">
        <v>6</v>
      </c>
      <c r="E40" t="s">
        <v>17</v>
      </c>
      <c r="F40">
        <v>700</v>
      </c>
      <c r="G40" t="s">
        <v>79</v>
      </c>
      <c r="H40" t="s">
        <v>19</v>
      </c>
      <c r="I40">
        <v>160</v>
      </c>
      <c r="J40" t="s">
        <v>20</v>
      </c>
      <c r="K40" t="s">
        <v>790</v>
      </c>
      <c r="R40" t="s">
        <v>21</v>
      </c>
      <c r="S40" t="s">
        <v>80</v>
      </c>
      <c r="W40" t="s">
        <v>81</v>
      </c>
      <c r="X40">
        <v>1991</v>
      </c>
      <c r="Y40" t="s">
        <v>82</v>
      </c>
      <c r="AE40" t="str">
        <f>LOWER(AA40)</f>
        <v/>
      </c>
    </row>
    <row r="41" spans="3:31" x14ac:dyDescent="0.2">
      <c r="C41" t="s">
        <v>78</v>
      </c>
      <c r="D41">
        <v>6</v>
      </c>
      <c r="E41" t="s">
        <v>17</v>
      </c>
      <c r="F41">
        <v>800</v>
      </c>
      <c r="G41" t="s">
        <v>79</v>
      </c>
      <c r="H41" t="s">
        <v>19</v>
      </c>
      <c r="I41">
        <v>160</v>
      </c>
      <c r="J41" t="s">
        <v>20</v>
      </c>
      <c r="K41" t="s">
        <v>790</v>
      </c>
      <c r="R41" t="s">
        <v>21</v>
      </c>
      <c r="S41" t="s">
        <v>80</v>
      </c>
      <c r="W41" t="s">
        <v>81</v>
      </c>
      <c r="X41">
        <v>1991</v>
      </c>
      <c r="Y41" t="s">
        <v>83</v>
      </c>
      <c r="AE41" t="str">
        <f>LOWER(AA41)</f>
        <v/>
      </c>
    </row>
    <row r="42" spans="3:31" x14ac:dyDescent="0.2">
      <c r="C42" t="s">
        <v>78</v>
      </c>
      <c r="D42">
        <v>6</v>
      </c>
      <c r="E42" t="s">
        <v>17</v>
      </c>
      <c r="F42">
        <v>900</v>
      </c>
      <c r="G42" t="s">
        <v>79</v>
      </c>
      <c r="H42" t="s">
        <v>19</v>
      </c>
      <c r="I42">
        <v>160</v>
      </c>
      <c r="J42" t="s">
        <v>20</v>
      </c>
      <c r="K42" t="s">
        <v>790</v>
      </c>
      <c r="R42" t="s">
        <v>21</v>
      </c>
      <c r="S42" t="s">
        <v>80</v>
      </c>
      <c r="W42" t="s">
        <v>81</v>
      </c>
      <c r="X42">
        <v>1991</v>
      </c>
      <c r="Y42" t="s">
        <v>84</v>
      </c>
      <c r="AE42" t="str">
        <f>LOWER(AA42)</f>
        <v/>
      </c>
    </row>
    <row r="43" spans="3:31" x14ac:dyDescent="0.2">
      <c r="C43" t="s">
        <v>78</v>
      </c>
      <c r="D43">
        <v>6</v>
      </c>
      <c r="E43" t="s">
        <v>17</v>
      </c>
      <c r="F43">
        <v>1000</v>
      </c>
      <c r="G43" t="s">
        <v>79</v>
      </c>
      <c r="H43" t="s">
        <v>19</v>
      </c>
      <c r="I43">
        <v>160</v>
      </c>
      <c r="J43" t="s">
        <v>20</v>
      </c>
      <c r="K43" t="s">
        <v>790</v>
      </c>
      <c r="R43" t="s">
        <v>21</v>
      </c>
      <c r="S43" t="s">
        <v>80</v>
      </c>
      <c r="W43" t="s">
        <v>81</v>
      </c>
      <c r="X43">
        <v>1991</v>
      </c>
      <c r="Y43" t="s">
        <v>85</v>
      </c>
      <c r="AE43" t="str">
        <f>LOWER(AA43)</f>
        <v/>
      </c>
    </row>
    <row r="44" spans="3:31" s="5" customFormat="1" x14ac:dyDescent="0.2">
      <c r="C44" s="5" t="s">
        <v>78</v>
      </c>
      <c r="D44" s="5">
        <v>7</v>
      </c>
      <c r="E44" s="5" t="s">
        <v>17</v>
      </c>
      <c r="F44" s="5">
        <v>450</v>
      </c>
      <c r="G44" s="5" t="s">
        <v>132</v>
      </c>
      <c r="H44" s="5" t="s">
        <v>19</v>
      </c>
      <c r="I44" s="5">
        <v>760</v>
      </c>
      <c r="J44" s="5" t="s">
        <v>38</v>
      </c>
      <c r="K44" s="5" t="s">
        <v>790</v>
      </c>
      <c r="R44" s="5" t="s">
        <v>21</v>
      </c>
      <c r="S44" s="5" t="s">
        <v>86</v>
      </c>
      <c r="W44" s="5" t="s">
        <v>87</v>
      </c>
      <c r="X44" s="5">
        <v>1983</v>
      </c>
      <c r="Y44" s="5" t="s">
        <v>88</v>
      </c>
      <c r="AA44" s="5" t="s">
        <v>796</v>
      </c>
      <c r="AB44" s="5">
        <v>8</v>
      </c>
      <c r="AC44" s="5">
        <v>8</v>
      </c>
      <c r="AD44" s="5">
        <v>0.125</v>
      </c>
    </row>
    <row r="45" spans="3:31" s="5" customFormat="1" x14ac:dyDescent="0.2">
      <c r="C45" s="5" t="s">
        <v>78</v>
      </c>
      <c r="D45" s="5">
        <v>7</v>
      </c>
      <c r="E45" s="5" t="s">
        <v>17</v>
      </c>
      <c r="F45" s="5">
        <v>500</v>
      </c>
      <c r="G45" s="5" t="s">
        <v>132</v>
      </c>
      <c r="H45" s="5" t="s">
        <v>19</v>
      </c>
      <c r="I45" s="5">
        <v>760</v>
      </c>
      <c r="J45" s="5" t="s">
        <v>38</v>
      </c>
      <c r="K45" s="5" t="s">
        <v>790</v>
      </c>
      <c r="R45" s="5" t="s">
        <v>21</v>
      </c>
      <c r="S45" s="5" t="s">
        <v>86</v>
      </c>
      <c r="W45" s="5" t="s">
        <v>87</v>
      </c>
      <c r="X45" s="5">
        <v>1983</v>
      </c>
      <c r="Y45" s="5" t="s">
        <v>89</v>
      </c>
      <c r="AA45" s="5" t="s">
        <v>796</v>
      </c>
      <c r="AB45" s="5">
        <v>8</v>
      </c>
      <c r="AC45" s="5">
        <v>8</v>
      </c>
      <c r="AD45" s="5">
        <v>0.125</v>
      </c>
    </row>
    <row r="46" spans="3:31" s="5" customFormat="1" x14ac:dyDescent="0.2">
      <c r="C46" s="5" t="s">
        <v>78</v>
      </c>
      <c r="D46" s="5">
        <v>7</v>
      </c>
      <c r="E46" s="5" t="s">
        <v>17</v>
      </c>
      <c r="F46" s="5">
        <v>550</v>
      </c>
      <c r="G46" s="5" t="s">
        <v>132</v>
      </c>
      <c r="H46" s="5" t="s">
        <v>19</v>
      </c>
      <c r="I46" s="5">
        <v>760</v>
      </c>
      <c r="J46" s="5" t="s">
        <v>38</v>
      </c>
      <c r="K46" s="5" t="s">
        <v>790</v>
      </c>
      <c r="R46" s="5" t="s">
        <v>21</v>
      </c>
      <c r="S46" s="5" t="s">
        <v>86</v>
      </c>
      <c r="W46" s="5" t="s">
        <v>87</v>
      </c>
      <c r="X46" s="5">
        <v>1983</v>
      </c>
      <c r="Y46" s="5" t="s">
        <v>90</v>
      </c>
      <c r="AA46" s="5" t="s">
        <v>796</v>
      </c>
      <c r="AB46" s="5">
        <v>8</v>
      </c>
      <c r="AC46" s="5">
        <v>8</v>
      </c>
      <c r="AD46" s="5">
        <v>0.125</v>
      </c>
    </row>
    <row r="47" spans="3:31" s="5" customFormat="1" x14ac:dyDescent="0.2">
      <c r="C47" s="5" t="s">
        <v>78</v>
      </c>
      <c r="D47" s="5">
        <v>7</v>
      </c>
      <c r="E47" s="5" t="s">
        <v>17</v>
      </c>
      <c r="F47" s="5">
        <v>600</v>
      </c>
      <c r="G47" s="5" t="s">
        <v>132</v>
      </c>
      <c r="H47" s="5" t="s">
        <v>19</v>
      </c>
      <c r="I47" s="5">
        <v>760</v>
      </c>
      <c r="J47" s="5" t="s">
        <v>38</v>
      </c>
      <c r="K47" s="5" t="s">
        <v>790</v>
      </c>
      <c r="R47" s="5" t="s">
        <v>21</v>
      </c>
      <c r="S47" s="5" t="s">
        <v>86</v>
      </c>
      <c r="W47" s="5" t="s">
        <v>87</v>
      </c>
      <c r="X47" s="5">
        <v>1983</v>
      </c>
      <c r="Y47" s="5" t="s">
        <v>91</v>
      </c>
      <c r="AA47" s="5" t="s">
        <v>796</v>
      </c>
      <c r="AB47" s="5">
        <v>8</v>
      </c>
      <c r="AC47" s="5">
        <v>8</v>
      </c>
      <c r="AD47" s="5">
        <v>0.125</v>
      </c>
    </row>
    <row r="48" spans="3:31" s="5" customFormat="1" x14ac:dyDescent="0.2">
      <c r="C48" s="5" t="s">
        <v>78</v>
      </c>
      <c r="D48" s="5">
        <v>7</v>
      </c>
      <c r="E48" s="5" t="s">
        <v>17</v>
      </c>
      <c r="F48" s="5">
        <v>650</v>
      </c>
      <c r="G48" s="5" t="s">
        <v>132</v>
      </c>
      <c r="H48" s="5" t="s">
        <v>19</v>
      </c>
      <c r="I48" s="5">
        <v>7.6</v>
      </c>
      <c r="J48" s="5" t="s">
        <v>38</v>
      </c>
      <c r="K48" s="5" t="s">
        <v>790</v>
      </c>
      <c r="R48" s="5" t="s">
        <v>21</v>
      </c>
      <c r="S48" s="5" t="s">
        <v>86</v>
      </c>
      <c r="W48" s="5" t="s">
        <v>87</v>
      </c>
      <c r="X48" s="5">
        <v>1983</v>
      </c>
      <c r="Y48" s="5" t="s">
        <v>92</v>
      </c>
      <c r="AA48" s="5" t="s">
        <v>796</v>
      </c>
      <c r="AB48" s="5">
        <v>8</v>
      </c>
      <c r="AC48" s="5">
        <v>8</v>
      </c>
      <c r="AD48" s="5">
        <v>0.125</v>
      </c>
    </row>
    <row r="49" spans="3:30" s="5" customFormat="1" x14ac:dyDescent="0.2">
      <c r="C49" s="5" t="s">
        <v>78</v>
      </c>
      <c r="D49" s="5">
        <v>7</v>
      </c>
      <c r="E49" s="5" t="s">
        <v>17</v>
      </c>
      <c r="F49" s="5">
        <v>750</v>
      </c>
      <c r="G49" s="5" t="s">
        <v>132</v>
      </c>
      <c r="H49" s="5" t="s">
        <v>19</v>
      </c>
      <c r="I49" s="5">
        <v>7.6</v>
      </c>
      <c r="J49" s="5" t="s">
        <v>38</v>
      </c>
      <c r="K49" s="5" t="s">
        <v>790</v>
      </c>
      <c r="R49" s="5" t="s">
        <v>21</v>
      </c>
      <c r="S49" s="5" t="s">
        <v>86</v>
      </c>
      <c r="W49" s="5" t="s">
        <v>87</v>
      </c>
      <c r="X49" s="5">
        <v>1983</v>
      </c>
      <c r="Y49" s="5" t="s">
        <v>93</v>
      </c>
      <c r="AA49" s="5" t="s">
        <v>796</v>
      </c>
      <c r="AB49" s="5">
        <v>8</v>
      </c>
      <c r="AC49" s="5">
        <v>8</v>
      </c>
      <c r="AD49" s="5">
        <v>0.125</v>
      </c>
    </row>
    <row r="50" spans="3:30" x14ac:dyDescent="0.2">
      <c r="C50" t="s">
        <v>94</v>
      </c>
      <c r="D50">
        <v>8</v>
      </c>
      <c r="E50" t="s">
        <v>17</v>
      </c>
      <c r="F50">
        <v>800</v>
      </c>
      <c r="G50" t="s">
        <v>18</v>
      </c>
      <c r="H50" t="s">
        <v>95</v>
      </c>
      <c r="I50">
        <v>130</v>
      </c>
      <c r="J50" t="s">
        <v>96</v>
      </c>
      <c r="K50" t="s">
        <v>790</v>
      </c>
      <c r="R50" t="s">
        <v>21</v>
      </c>
      <c r="S50" t="s">
        <v>97</v>
      </c>
      <c r="W50" t="s">
        <v>98</v>
      </c>
      <c r="X50">
        <v>1980</v>
      </c>
      <c r="Y50" t="s">
        <v>99</v>
      </c>
      <c r="AA50" t="s">
        <v>796</v>
      </c>
      <c r="AB50">
        <v>15</v>
      </c>
      <c r="AC50">
        <v>10</v>
      </c>
      <c r="AD50">
        <v>1</v>
      </c>
    </row>
    <row r="51" spans="3:30" x14ac:dyDescent="0.2">
      <c r="C51" t="s">
        <v>94</v>
      </c>
      <c r="D51">
        <v>8</v>
      </c>
      <c r="E51" t="s">
        <v>17</v>
      </c>
      <c r="F51">
        <v>900</v>
      </c>
      <c r="G51" t="s">
        <v>18</v>
      </c>
      <c r="H51" t="s">
        <v>95</v>
      </c>
      <c r="I51">
        <v>130</v>
      </c>
      <c r="J51" t="s">
        <v>96</v>
      </c>
      <c r="K51" t="s">
        <v>790</v>
      </c>
      <c r="R51" t="s">
        <v>21</v>
      </c>
      <c r="S51" t="s">
        <v>97</v>
      </c>
      <c r="W51" t="s">
        <v>98</v>
      </c>
      <c r="X51">
        <v>1980</v>
      </c>
      <c r="Y51" t="s">
        <v>100</v>
      </c>
      <c r="AA51" t="s">
        <v>796</v>
      </c>
      <c r="AB51">
        <v>15</v>
      </c>
      <c r="AC51">
        <v>10</v>
      </c>
      <c r="AD51">
        <v>1</v>
      </c>
    </row>
    <row r="52" spans="3:30" x14ac:dyDescent="0.2">
      <c r="C52" t="s">
        <v>94</v>
      </c>
      <c r="D52">
        <v>8</v>
      </c>
      <c r="E52" t="s">
        <v>17</v>
      </c>
      <c r="F52">
        <v>950</v>
      </c>
      <c r="G52" t="s">
        <v>18</v>
      </c>
      <c r="H52" t="s">
        <v>95</v>
      </c>
      <c r="I52">
        <v>7.0000000000000007E-2</v>
      </c>
      <c r="J52" t="s">
        <v>96</v>
      </c>
      <c r="K52" t="s">
        <v>790</v>
      </c>
      <c r="R52" t="s">
        <v>21</v>
      </c>
      <c r="S52" t="s">
        <v>97</v>
      </c>
      <c r="W52" t="s">
        <v>98</v>
      </c>
      <c r="X52">
        <v>1980</v>
      </c>
      <c r="Y52" t="s">
        <v>101</v>
      </c>
      <c r="AA52" t="s">
        <v>796</v>
      </c>
      <c r="AB52">
        <v>15</v>
      </c>
      <c r="AC52">
        <v>10</v>
      </c>
      <c r="AD52">
        <v>1</v>
      </c>
    </row>
    <row r="53" spans="3:30" x14ac:dyDescent="0.2">
      <c r="C53" t="s">
        <v>94</v>
      </c>
      <c r="D53">
        <v>8</v>
      </c>
      <c r="E53" t="s">
        <v>17</v>
      </c>
      <c r="F53">
        <v>1000</v>
      </c>
      <c r="G53" t="s">
        <v>18</v>
      </c>
      <c r="H53" t="s">
        <v>95</v>
      </c>
      <c r="I53">
        <v>130</v>
      </c>
      <c r="J53" t="s">
        <v>96</v>
      </c>
      <c r="K53" t="s">
        <v>790</v>
      </c>
      <c r="R53" t="s">
        <v>21</v>
      </c>
      <c r="S53" t="s">
        <v>97</v>
      </c>
      <c r="W53" t="s">
        <v>98</v>
      </c>
      <c r="X53">
        <v>1980</v>
      </c>
      <c r="Y53" t="s">
        <v>102</v>
      </c>
      <c r="AA53" t="s">
        <v>796</v>
      </c>
      <c r="AB53">
        <v>15</v>
      </c>
      <c r="AC53">
        <v>10</v>
      </c>
      <c r="AD53">
        <v>1</v>
      </c>
    </row>
    <row r="54" spans="3:30" x14ac:dyDescent="0.2">
      <c r="C54" t="s">
        <v>94</v>
      </c>
      <c r="D54">
        <v>8</v>
      </c>
      <c r="E54" t="s">
        <v>17</v>
      </c>
      <c r="F54">
        <v>1075</v>
      </c>
      <c r="G54" t="s">
        <v>18</v>
      </c>
      <c r="H54" t="s">
        <v>95</v>
      </c>
      <c r="I54">
        <v>130</v>
      </c>
      <c r="J54" t="s">
        <v>96</v>
      </c>
      <c r="K54" t="s">
        <v>790</v>
      </c>
      <c r="R54" t="s">
        <v>21</v>
      </c>
      <c r="S54" t="s">
        <v>97</v>
      </c>
      <c r="W54" t="s">
        <v>98</v>
      </c>
      <c r="X54">
        <v>1980</v>
      </c>
      <c r="Y54" t="s">
        <v>103</v>
      </c>
      <c r="AA54" t="s">
        <v>796</v>
      </c>
      <c r="AB54">
        <v>15</v>
      </c>
      <c r="AC54">
        <v>10</v>
      </c>
      <c r="AD54">
        <v>1</v>
      </c>
    </row>
    <row r="55" spans="3:30" x14ac:dyDescent="0.2">
      <c r="C55" t="s">
        <v>94</v>
      </c>
      <c r="D55">
        <v>9</v>
      </c>
      <c r="E55" t="s">
        <v>17</v>
      </c>
      <c r="F55">
        <v>700</v>
      </c>
      <c r="G55" t="s">
        <v>29</v>
      </c>
      <c r="H55" t="s">
        <v>37</v>
      </c>
      <c r="I55">
        <v>7.6</v>
      </c>
      <c r="J55" t="s">
        <v>104</v>
      </c>
      <c r="K55" t="s">
        <v>790</v>
      </c>
      <c r="N55">
        <v>8.2199999999999995E-2</v>
      </c>
      <c r="R55" t="s">
        <v>21</v>
      </c>
      <c r="S55" t="s">
        <v>105</v>
      </c>
      <c r="W55" t="s">
        <v>106</v>
      </c>
      <c r="X55">
        <v>1957</v>
      </c>
      <c r="Y55" t="s">
        <v>107</v>
      </c>
      <c r="AA55" t="s">
        <v>796</v>
      </c>
      <c r="AB55">
        <v>16</v>
      </c>
      <c r="AC55">
        <v>10</v>
      </c>
      <c r="AD55">
        <v>10</v>
      </c>
    </row>
    <row r="56" spans="3:30" x14ac:dyDescent="0.2">
      <c r="C56" t="s">
        <v>94</v>
      </c>
      <c r="D56">
        <v>9</v>
      </c>
      <c r="E56" t="s">
        <v>17</v>
      </c>
      <c r="F56">
        <v>750</v>
      </c>
      <c r="G56" t="s">
        <v>29</v>
      </c>
      <c r="H56" t="s">
        <v>37</v>
      </c>
      <c r="I56">
        <v>7.6</v>
      </c>
      <c r="J56" t="s">
        <v>104</v>
      </c>
      <c r="K56" t="s">
        <v>790</v>
      </c>
      <c r="N56">
        <v>0.16139999999999999</v>
      </c>
      <c r="R56" t="s">
        <v>21</v>
      </c>
      <c r="S56" t="s">
        <v>105</v>
      </c>
      <c r="W56" t="s">
        <v>106</v>
      </c>
      <c r="X56">
        <v>1957</v>
      </c>
      <c r="Y56" t="s">
        <v>108</v>
      </c>
      <c r="AA56" t="s">
        <v>796</v>
      </c>
      <c r="AB56">
        <v>16</v>
      </c>
      <c r="AC56">
        <v>10</v>
      </c>
      <c r="AD56">
        <v>10</v>
      </c>
    </row>
    <row r="57" spans="3:30" x14ac:dyDescent="0.2">
      <c r="C57" t="s">
        <v>94</v>
      </c>
      <c r="D57">
        <v>9</v>
      </c>
      <c r="E57" t="s">
        <v>17</v>
      </c>
      <c r="F57">
        <v>850</v>
      </c>
      <c r="G57" t="s">
        <v>29</v>
      </c>
      <c r="H57" t="s">
        <v>37</v>
      </c>
      <c r="I57">
        <v>7.6</v>
      </c>
      <c r="J57" t="s">
        <v>104</v>
      </c>
      <c r="K57" t="s">
        <v>790</v>
      </c>
      <c r="N57">
        <v>0.315</v>
      </c>
      <c r="R57" t="s">
        <v>21</v>
      </c>
      <c r="S57" t="s">
        <v>105</v>
      </c>
      <c r="W57" t="s">
        <v>106</v>
      </c>
      <c r="X57">
        <v>1957</v>
      </c>
      <c r="Y57" t="s">
        <v>109</v>
      </c>
      <c r="AA57" t="s">
        <v>796</v>
      </c>
      <c r="AB57">
        <v>16</v>
      </c>
      <c r="AC57">
        <v>10</v>
      </c>
      <c r="AD57">
        <v>10</v>
      </c>
    </row>
    <row r="58" spans="3:30" x14ac:dyDescent="0.2">
      <c r="C58" t="s">
        <v>94</v>
      </c>
      <c r="D58">
        <v>9</v>
      </c>
      <c r="E58" t="s">
        <v>17</v>
      </c>
      <c r="F58">
        <v>1050</v>
      </c>
      <c r="G58" t="s">
        <v>29</v>
      </c>
      <c r="H58" t="s">
        <v>37</v>
      </c>
      <c r="I58">
        <v>7.6</v>
      </c>
      <c r="J58" t="s">
        <v>104</v>
      </c>
      <c r="K58" t="s">
        <v>790</v>
      </c>
      <c r="N58">
        <v>3.84</v>
      </c>
      <c r="R58" t="s">
        <v>21</v>
      </c>
      <c r="S58" t="s">
        <v>105</v>
      </c>
      <c r="W58" t="s">
        <v>106</v>
      </c>
      <c r="X58">
        <v>1957</v>
      </c>
      <c r="Y58" t="s">
        <v>110</v>
      </c>
      <c r="AA58" t="s">
        <v>796</v>
      </c>
      <c r="AB58">
        <v>16</v>
      </c>
      <c r="AC58">
        <v>10</v>
      </c>
      <c r="AD58">
        <v>10</v>
      </c>
    </row>
    <row r="59" spans="3:30" x14ac:dyDescent="0.2">
      <c r="C59" t="s">
        <v>94</v>
      </c>
      <c r="D59">
        <v>9</v>
      </c>
      <c r="E59" t="s">
        <v>17</v>
      </c>
      <c r="F59">
        <v>1100</v>
      </c>
      <c r="G59" t="s">
        <v>29</v>
      </c>
      <c r="H59" t="s">
        <v>37</v>
      </c>
      <c r="I59">
        <v>7.6</v>
      </c>
      <c r="J59" t="s">
        <v>104</v>
      </c>
      <c r="K59" t="s">
        <v>790</v>
      </c>
      <c r="N59">
        <v>7.68</v>
      </c>
      <c r="R59" t="s">
        <v>21</v>
      </c>
      <c r="S59" t="s">
        <v>105</v>
      </c>
      <c r="W59" t="s">
        <v>106</v>
      </c>
      <c r="X59">
        <v>1957</v>
      </c>
      <c r="Y59" t="s">
        <v>111</v>
      </c>
      <c r="AA59" t="s">
        <v>796</v>
      </c>
      <c r="AB59">
        <v>16</v>
      </c>
      <c r="AC59">
        <v>10</v>
      </c>
      <c r="AD59">
        <v>10</v>
      </c>
    </row>
    <row r="60" spans="3:30" x14ac:dyDescent="0.2">
      <c r="C60" t="s">
        <v>112</v>
      </c>
      <c r="D60">
        <v>10</v>
      </c>
      <c r="E60" t="s">
        <v>17</v>
      </c>
      <c r="F60">
        <v>400</v>
      </c>
      <c r="G60" t="s">
        <v>29</v>
      </c>
      <c r="H60" t="s">
        <v>95</v>
      </c>
      <c r="I60">
        <v>10</v>
      </c>
      <c r="J60" t="s">
        <v>104</v>
      </c>
      <c r="K60" t="s">
        <v>790</v>
      </c>
      <c r="N60">
        <v>1.2</v>
      </c>
      <c r="R60" t="s">
        <v>21</v>
      </c>
      <c r="S60" t="s">
        <v>113</v>
      </c>
      <c r="W60" t="s">
        <v>114</v>
      </c>
      <c r="X60">
        <v>1964</v>
      </c>
      <c r="Y60" t="s">
        <v>115</v>
      </c>
      <c r="AA60" t="s">
        <v>796</v>
      </c>
      <c r="AB60">
        <v>20</v>
      </c>
      <c r="AC60">
        <v>10</v>
      </c>
      <c r="AD60">
        <v>0.7</v>
      </c>
    </row>
    <row r="61" spans="3:30" x14ac:dyDescent="0.2">
      <c r="C61" t="s">
        <v>112</v>
      </c>
      <c r="D61">
        <v>10</v>
      </c>
      <c r="E61" t="s">
        <v>17</v>
      </c>
      <c r="F61">
        <v>450</v>
      </c>
      <c r="G61" t="s">
        <v>29</v>
      </c>
      <c r="H61" t="s">
        <v>95</v>
      </c>
      <c r="I61">
        <v>10</v>
      </c>
      <c r="J61" t="s">
        <v>104</v>
      </c>
      <c r="K61" t="s">
        <v>790</v>
      </c>
      <c r="R61" t="s">
        <v>21</v>
      </c>
      <c r="S61" t="s">
        <v>113</v>
      </c>
      <c r="W61" t="s">
        <v>114</v>
      </c>
      <c r="X61">
        <v>1964</v>
      </c>
      <c r="Y61" t="s">
        <v>116</v>
      </c>
      <c r="AA61" t="s">
        <v>796</v>
      </c>
      <c r="AB61">
        <v>20</v>
      </c>
      <c r="AC61">
        <v>10</v>
      </c>
      <c r="AD61">
        <v>0.7</v>
      </c>
    </row>
    <row r="62" spans="3:30" x14ac:dyDescent="0.2">
      <c r="C62" t="s">
        <v>112</v>
      </c>
      <c r="D62">
        <v>10</v>
      </c>
      <c r="E62" t="s">
        <v>17</v>
      </c>
      <c r="F62">
        <v>500</v>
      </c>
      <c r="G62" t="s">
        <v>29</v>
      </c>
      <c r="H62" t="s">
        <v>95</v>
      </c>
      <c r="I62">
        <v>10</v>
      </c>
      <c r="J62" t="s">
        <v>104</v>
      </c>
      <c r="K62" t="s">
        <v>790</v>
      </c>
      <c r="N62">
        <v>5.9</v>
      </c>
      <c r="R62" t="s">
        <v>21</v>
      </c>
      <c r="S62" t="s">
        <v>113</v>
      </c>
      <c r="W62" t="s">
        <v>114</v>
      </c>
      <c r="X62">
        <v>1964</v>
      </c>
      <c r="Y62" t="s">
        <v>117</v>
      </c>
      <c r="AA62" t="s">
        <v>796</v>
      </c>
      <c r="AB62">
        <v>20</v>
      </c>
      <c r="AC62">
        <v>10</v>
      </c>
      <c r="AD62">
        <v>0.7</v>
      </c>
    </row>
    <row r="63" spans="3:30" x14ac:dyDescent="0.2">
      <c r="C63" t="s">
        <v>112</v>
      </c>
      <c r="D63">
        <v>10</v>
      </c>
      <c r="E63" t="s">
        <v>17</v>
      </c>
      <c r="F63">
        <v>550</v>
      </c>
      <c r="G63" t="s">
        <v>29</v>
      </c>
      <c r="H63" t="s">
        <v>95</v>
      </c>
      <c r="I63">
        <v>10</v>
      </c>
      <c r="J63" t="s">
        <v>104</v>
      </c>
      <c r="K63" t="s">
        <v>790</v>
      </c>
      <c r="N63">
        <v>9.1</v>
      </c>
      <c r="R63" t="s">
        <v>21</v>
      </c>
      <c r="S63" t="s">
        <v>113</v>
      </c>
      <c r="W63" t="s">
        <v>114</v>
      </c>
      <c r="X63">
        <v>1964</v>
      </c>
      <c r="Y63" t="s">
        <v>118</v>
      </c>
      <c r="AA63" t="s">
        <v>796</v>
      </c>
      <c r="AB63">
        <v>20</v>
      </c>
      <c r="AC63">
        <v>10</v>
      </c>
      <c r="AD63">
        <v>0.7</v>
      </c>
    </row>
    <row r="64" spans="3:30" x14ac:dyDescent="0.2">
      <c r="C64" t="s">
        <v>112</v>
      </c>
      <c r="D64">
        <v>10</v>
      </c>
      <c r="E64" t="s">
        <v>17</v>
      </c>
      <c r="F64">
        <v>600</v>
      </c>
      <c r="G64" t="s">
        <v>29</v>
      </c>
      <c r="H64" t="s">
        <v>95</v>
      </c>
      <c r="I64">
        <v>10</v>
      </c>
      <c r="J64" t="s">
        <v>104</v>
      </c>
      <c r="K64" t="s">
        <v>790</v>
      </c>
      <c r="N64">
        <v>11.1</v>
      </c>
      <c r="R64" t="s">
        <v>21</v>
      </c>
      <c r="S64" t="s">
        <v>113</v>
      </c>
      <c r="W64" t="s">
        <v>114</v>
      </c>
      <c r="X64">
        <v>1964</v>
      </c>
      <c r="Y64" t="s">
        <v>119</v>
      </c>
      <c r="AA64" t="s">
        <v>796</v>
      </c>
      <c r="AB64">
        <v>20</v>
      </c>
      <c r="AC64">
        <v>10</v>
      </c>
      <c r="AD64">
        <v>0.7</v>
      </c>
    </row>
    <row r="65" spans="3:30" x14ac:dyDescent="0.2">
      <c r="C65" t="s">
        <v>120</v>
      </c>
      <c r="D65">
        <v>13</v>
      </c>
      <c r="E65" t="s">
        <v>17</v>
      </c>
      <c r="F65">
        <v>550</v>
      </c>
      <c r="G65" t="s">
        <v>18</v>
      </c>
      <c r="H65" t="s">
        <v>95</v>
      </c>
      <c r="I65">
        <v>76</v>
      </c>
      <c r="J65" t="s">
        <v>38</v>
      </c>
      <c r="K65" t="s">
        <v>790</v>
      </c>
      <c r="R65" t="s">
        <v>21</v>
      </c>
      <c r="S65" t="s">
        <v>105</v>
      </c>
      <c r="W65" t="s">
        <v>121</v>
      </c>
      <c r="X65">
        <v>1963</v>
      </c>
      <c r="Y65" t="s">
        <v>122</v>
      </c>
      <c r="AA65" t="s">
        <v>797</v>
      </c>
      <c r="AB65">
        <v>3.16</v>
      </c>
      <c r="AC65">
        <v>3.16</v>
      </c>
      <c r="AD65">
        <v>15</v>
      </c>
    </row>
    <row r="66" spans="3:30" x14ac:dyDescent="0.2">
      <c r="C66" t="s">
        <v>120</v>
      </c>
      <c r="D66">
        <v>13</v>
      </c>
      <c r="E66" t="s">
        <v>17</v>
      </c>
      <c r="F66">
        <v>600</v>
      </c>
      <c r="G66" t="s">
        <v>18</v>
      </c>
      <c r="H66" t="s">
        <v>95</v>
      </c>
      <c r="I66">
        <v>76</v>
      </c>
      <c r="J66" t="s">
        <v>38</v>
      </c>
      <c r="K66" t="s">
        <v>790</v>
      </c>
      <c r="R66" t="s">
        <v>21</v>
      </c>
      <c r="S66" t="s">
        <v>105</v>
      </c>
      <c r="W66" t="s">
        <v>121</v>
      </c>
      <c r="X66">
        <v>1963</v>
      </c>
      <c r="Y66" t="s">
        <v>123</v>
      </c>
      <c r="AA66" t="s">
        <v>797</v>
      </c>
      <c r="AB66">
        <v>3.16</v>
      </c>
      <c r="AC66">
        <v>3.16</v>
      </c>
      <c r="AD66">
        <v>15</v>
      </c>
    </row>
    <row r="67" spans="3:30" x14ac:dyDescent="0.2">
      <c r="C67" t="s">
        <v>120</v>
      </c>
      <c r="D67">
        <v>13</v>
      </c>
      <c r="E67" t="s">
        <v>17</v>
      </c>
      <c r="F67">
        <v>650</v>
      </c>
      <c r="G67" t="s">
        <v>18</v>
      </c>
      <c r="H67" t="s">
        <v>95</v>
      </c>
      <c r="I67">
        <v>76</v>
      </c>
      <c r="J67" t="s">
        <v>38</v>
      </c>
      <c r="K67" t="s">
        <v>790</v>
      </c>
      <c r="R67" t="s">
        <v>21</v>
      </c>
      <c r="S67" t="s">
        <v>105</v>
      </c>
      <c r="W67" t="s">
        <v>121</v>
      </c>
      <c r="X67">
        <v>1963</v>
      </c>
      <c r="Y67" t="s">
        <v>124</v>
      </c>
      <c r="AA67" t="s">
        <v>797</v>
      </c>
      <c r="AB67">
        <v>3.16</v>
      </c>
      <c r="AC67">
        <v>3.16</v>
      </c>
      <c r="AD67">
        <v>15</v>
      </c>
    </row>
    <row r="68" spans="3:30" x14ac:dyDescent="0.2">
      <c r="C68" t="s">
        <v>120</v>
      </c>
      <c r="D68">
        <v>13</v>
      </c>
      <c r="E68" t="s">
        <v>17</v>
      </c>
      <c r="F68">
        <v>700</v>
      </c>
      <c r="G68" t="s">
        <v>18</v>
      </c>
      <c r="H68" t="s">
        <v>95</v>
      </c>
      <c r="I68">
        <v>76</v>
      </c>
      <c r="J68" t="s">
        <v>38</v>
      </c>
      <c r="K68" t="s">
        <v>790</v>
      </c>
      <c r="R68" t="s">
        <v>21</v>
      </c>
      <c r="S68" t="s">
        <v>105</v>
      </c>
      <c r="W68" t="s">
        <v>121</v>
      </c>
      <c r="X68">
        <v>1963</v>
      </c>
      <c r="Y68" t="s">
        <v>125</v>
      </c>
      <c r="AA68" t="s">
        <v>797</v>
      </c>
      <c r="AB68">
        <v>3.16</v>
      </c>
      <c r="AC68">
        <v>3.16</v>
      </c>
      <c r="AD68">
        <v>15</v>
      </c>
    </row>
    <row r="69" spans="3:30" x14ac:dyDescent="0.2">
      <c r="C69" t="s">
        <v>120</v>
      </c>
      <c r="D69">
        <v>13</v>
      </c>
      <c r="E69" t="s">
        <v>17</v>
      </c>
      <c r="F69">
        <v>800</v>
      </c>
      <c r="G69" t="s">
        <v>18</v>
      </c>
      <c r="H69" t="s">
        <v>95</v>
      </c>
      <c r="I69">
        <v>76</v>
      </c>
      <c r="J69" t="s">
        <v>38</v>
      </c>
      <c r="K69" t="s">
        <v>790</v>
      </c>
      <c r="R69" t="s">
        <v>21</v>
      </c>
      <c r="S69" t="s">
        <v>105</v>
      </c>
      <c r="W69" t="s">
        <v>121</v>
      </c>
      <c r="X69">
        <v>1963</v>
      </c>
      <c r="Y69" t="s">
        <v>126</v>
      </c>
      <c r="AA69" t="s">
        <v>797</v>
      </c>
      <c r="AB69">
        <v>3.16</v>
      </c>
      <c r="AC69">
        <v>3.16</v>
      </c>
      <c r="AD69">
        <v>15</v>
      </c>
    </row>
    <row r="70" spans="3:30" x14ac:dyDescent="0.2">
      <c r="C70" t="s">
        <v>120</v>
      </c>
      <c r="D70">
        <v>13</v>
      </c>
      <c r="E70" t="s">
        <v>17</v>
      </c>
      <c r="F70">
        <v>1000</v>
      </c>
      <c r="G70" t="s">
        <v>18</v>
      </c>
      <c r="H70" t="s">
        <v>95</v>
      </c>
      <c r="I70">
        <v>76</v>
      </c>
      <c r="J70" t="s">
        <v>38</v>
      </c>
      <c r="K70" t="s">
        <v>790</v>
      </c>
      <c r="R70" t="s">
        <v>21</v>
      </c>
      <c r="S70" t="s">
        <v>105</v>
      </c>
      <c r="W70" t="s">
        <v>121</v>
      </c>
      <c r="X70">
        <v>1963</v>
      </c>
      <c r="Y70" t="s">
        <v>127</v>
      </c>
      <c r="AA70" t="s">
        <v>797</v>
      </c>
      <c r="AB70">
        <v>3.16</v>
      </c>
      <c r="AC70">
        <v>3.16</v>
      </c>
      <c r="AD70">
        <v>15</v>
      </c>
    </row>
    <row r="71" spans="3:30" x14ac:dyDescent="0.2">
      <c r="C71" t="s">
        <v>120</v>
      </c>
      <c r="D71">
        <v>13</v>
      </c>
      <c r="E71" t="s">
        <v>17</v>
      </c>
      <c r="F71">
        <v>1100</v>
      </c>
      <c r="G71" t="s">
        <v>18</v>
      </c>
      <c r="H71" t="s">
        <v>95</v>
      </c>
      <c r="I71">
        <v>76</v>
      </c>
      <c r="J71" t="s">
        <v>38</v>
      </c>
      <c r="K71" t="s">
        <v>790</v>
      </c>
      <c r="R71" t="s">
        <v>21</v>
      </c>
      <c r="S71" t="s">
        <v>105</v>
      </c>
      <c r="W71" t="s">
        <v>121</v>
      </c>
      <c r="X71">
        <v>1963</v>
      </c>
      <c r="Y71" t="s">
        <v>128</v>
      </c>
      <c r="AA71" t="s">
        <v>797</v>
      </c>
      <c r="AB71">
        <v>3.16</v>
      </c>
      <c r="AC71">
        <v>3.16</v>
      </c>
      <c r="AD71">
        <v>15</v>
      </c>
    </row>
    <row r="72" spans="3:30" x14ac:dyDescent="0.2">
      <c r="C72" t="s">
        <v>120</v>
      </c>
      <c r="D72">
        <v>13</v>
      </c>
      <c r="E72" t="s">
        <v>17</v>
      </c>
      <c r="F72">
        <v>1200</v>
      </c>
      <c r="G72" t="s">
        <v>18</v>
      </c>
      <c r="H72" t="s">
        <v>95</v>
      </c>
      <c r="I72">
        <v>76</v>
      </c>
      <c r="J72" t="s">
        <v>38</v>
      </c>
      <c r="K72" t="s">
        <v>790</v>
      </c>
      <c r="R72" t="s">
        <v>21</v>
      </c>
      <c r="S72" t="s">
        <v>105</v>
      </c>
      <c r="W72" t="s">
        <v>121</v>
      </c>
      <c r="X72">
        <v>1963</v>
      </c>
      <c r="Y72" t="s">
        <v>129</v>
      </c>
      <c r="AA72" t="s">
        <v>797</v>
      </c>
      <c r="AB72">
        <v>3.16</v>
      </c>
      <c r="AC72">
        <v>3.16</v>
      </c>
      <c r="AD72">
        <v>15</v>
      </c>
    </row>
    <row r="73" spans="3:30" x14ac:dyDescent="0.2">
      <c r="C73" t="s">
        <v>120</v>
      </c>
      <c r="D73">
        <v>13</v>
      </c>
      <c r="E73" t="s">
        <v>17</v>
      </c>
      <c r="F73">
        <v>1400</v>
      </c>
      <c r="G73" t="s">
        <v>18</v>
      </c>
      <c r="H73" t="s">
        <v>95</v>
      </c>
      <c r="I73">
        <v>76</v>
      </c>
      <c r="J73" t="s">
        <v>38</v>
      </c>
      <c r="K73" t="s">
        <v>790</v>
      </c>
      <c r="R73" t="s">
        <v>21</v>
      </c>
      <c r="S73" t="s">
        <v>105</v>
      </c>
      <c r="W73" t="s">
        <v>121</v>
      </c>
      <c r="X73">
        <v>1963</v>
      </c>
      <c r="Y73" t="s">
        <v>130</v>
      </c>
      <c r="AA73" t="s">
        <v>797</v>
      </c>
      <c r="AB73">
        <v>3.16</v>
      </c>
      <c r="AC73">
        <v>3.16</v>
      </c>
      <c r="AD73">
        <v>15</v>
      </c>
    </row>
    <row r="74" spans="3:30" x14ac:dyDescent="0.2">
      <c r="C74" t="s">
        <v>131</v>
      </c>
      <c r="D74">
        <v>14</v>
      </c>
      <c r="E74" t="s">
        <v>17</v>
      </c>
      <c r="F74">
        <v>600</v>
      </c>
      <c r="G74" t="s">
        <v>132</v>
      </c>
      <c r="H74" t="s">
        <v>95</v>
      </c>
      <c r="I74">
        <v>160</v>
      </c>
      <c r="J74" t="s">
        <v>20</v>
      </c>
      <c r="K74" t="s">
        <v>790</v>
      </c>
      <c r="R74" t="s">
        <v>21</v>
      </c>
      <c r="S74" t="s">
        <v>113</v>
      </c>
      <c r="W74" t="s">
        <v>133</v>
      </c>
      <c r="X74">
        <v>1995</v>
      </c>
      <c r="Y74" t="s">
        <v>134</v>
      </c>
      <c r="AA74" t="s">
        <v>796</v>
      </c>
      <c r="AB74">
        <v>7</v>
      </c>
      <c r="AC74">
        <v>7</v>
      </c>
      <c r="AD74">
        <v>7</v>
      </c>
    </row>
    <row r="75" spans="3:30" x14ac:dyDescent="0.2">
      <c r="C75" t="s">
        <v>131</v>
      </c>
      <c r="D75">
        <v>14</v>
      </c>
      <c r="E75" t="s">
        <v>17</v>
      </c>
      <c r="F75">
        <v>700</v>
      </c>
      <c r="G75" t="s">
        <v>132</v>
      </c>
      <c r="H75" t="s">
        <v>95</v>
      </c>
      <c r="I75">
        <v>160</v>
      </c>
      <c r="J75" t="s">
        <v>20</v>
      </c>
      <c r="K75" t="s">
        <v>790</v>
      </c>
      <c r="R75" t="s">
        <v>21</v>
      </c>
      <c r="S75" t="s">
        <v>113</v>
      </c>
      <c r="W75" t="s">
        <v>133</v>
      </c>
      <c r="X75">
        <v>1995</v>
      </c>
      <c r="Y75" t="s">
        <v>135</v>
      </c>
      <c r="AA75" t="s">
        <v>796</v>
      </c>
      <c r="AB75">
        <v>7</v>
      </c>
      <c r="AC75">
        <v>7</v>
      </c>
      <c r="AD75">
        <v>7</v>
      </c>
    </row>
    <row r="76" spans="3:30" x14ac:dyDescent="0.2">
      <c r="C76" t="s">
        <v>131</v>
      </c>
      <c r="D76">
        <v>14</v>
      </c>
      <c r="E76" t="s">
        <v>17</v>
      </c>
      <c r="F76">
        <v>800</v>
      </c>
      <c r="G76" t="s">
        <v>132</v>
      </c>
      <c r="H76" t="s">
        <v>95</v>
      </c>
      <c r="I76">
        <v>160</v>
      </c>
      <c r="J76" t="s">
        <v>20</v>
      </c>
      <c r="K76" t="s">
        <v>790</v>
      </c>
      <c r="R76" t="s">
        <v>21</v>
      </c>
      <c r="S76" t="s">
        <v>113</v>
      </c>
      <c r="W76" t="s">
        <v>133</v>
      </c>
      <c r="X76">
        <v>1995</v>
      </c>
      <c r="Y76" t="s">
        <v>136</v>
      </c>
      <c r="AA76" t="s">
        <v>796</v>
      </c>
      <c r="AB76">
        <v>7</v>
      </c>
      <c r="AC76">
        <v>7</v>
      </c>
      <c r="AD76">
        <v>7</v>
      </c>
    </row>
    <row r="77" spans="3:30" x14ac:dyDescent="0.2">
      <c r="C77" t="s">
        <v>131</v>
      </c>
      <c r="D77">
        <v>14</v>
      </c>
      <c r="E77" t="s">
        <v>17</v>
      </c>
      <c r="F77">
        <v>900</v>
      </c>
      <c r="G77" t="s">
        <v>132</v>
      </c>
      <c r="H77" t="s">
        <v>37</v>
      </c>
      <c r="I77">
        <v>160</v>
      </c>
      <c r="J77" t="s">
        <v>20</v>
      </c>
      <c r="K77" t="s">
        <v>790</v>
      </c>
      <c r="R77" t="s">
        <v>21</v>
      </c>
      <c r="S77" t="s">
        <v>113</v>
      </c>
      <c r="W77" t="s">
        <v>133</v>
      </c>
      <c r="X77">
        <v>1995</v>
      </c>
      <c r="Y77" t="s">
        <v>137</v>
      </c>
      <c r="AA77" t="s">
        <v>796</v>
      </c>
      <c r="AB77">
        <v>7</v>
      </c>
      <c r="AC77">
        <v>7</v>
      </c>
      <c r="AD77">
        <v>7</v>
      </c>
    </row>
    <row r="78" spans="3:30" x14ac:dyDescent="0.2">
      <c r="C78" t="s">
        <v>131</v>
      </c>
      <c r="D78">
        <v>14</v>
      </c>
      <c r="E78" t="s">
        <v>17</v>
      </c>
      <c r="F78">
        <v>1000</v>
      </c>
      <c r="G78" t="s">
        <v>132</v>
      </c>
      <c r="H78" t="s">
        <v>37</v>
      </c>
      <c r="I78">
        <v>160</v>
      </c>
      <c r="J78" t="s">
        <v>20</v>
      </c>
      <c r="K78" t="s">
        <v>790</v>
      </c>
      <c r="R78" t="s">
        <v>21</v>
      </c>
      <c r="S78" t="s">
        <v>113</v>
      </c>
      <c r="W78" t="s">
        <v>133</v>
      </c>
      <c r="X78">
        <v>1995</v>
      </c>
      <c r="Y78" t="s">
        <v>138</v>
      </c>
      <c r="AA78" t="s">
        <v>796</v>
      </c>
      <c r="AB78">
        <v>7</v>
      </c>
      <c r="AC78">
        <v>7</v>
      </c>
      <c r="AD78">
        <v>7</v>
      </c>
    </row>
    <row r="79" spans="3:30" x14ac:dyDescent="0.2">
      <c r="C79" t="s">
        <v>16</v>
      </c>
      <c r="D79">
        <v>15</v>
      </c>
      <c r="E79" t="s">
        <v>17</v>
      </c>
      <c r="F79">
        <v>500</v>
      </c>
      <c r="G79" t="s">
        <v>29</v>
      </c>
      <c r="H79" t="s">
        <v>37</v>
      </c>
      <c r="I79">
        <v>0.1</v>
      </c>
      <c r="J79" t="s">
        <v>55</v>
      </c>
      <c r="K79" t="s">
        <v>790</v>
      </c>
      <c r="R79" t="s">
        <v>21</v>
      </c>
      <c r="S79" t="s">
        <v>139</v>
      </c>
      <c r="W79" t="s">
        <v>140</v>
      </c>
      <c r="X79">
        <v>1960</v>
      </c>
      <c r="Y79" t="s">
        <v>141</v>
      </c>
      <c r="AA79" t="s">
        <v>798</v>
      </c>
    </row>
    <row r="80" spans="3:30" x14ac:dyDescent="0.2">
      <c r="C80" t="s">
        <v>16</v>
      </c>
      <c r="D80">
        <v>15</v>
      </c>
      <c r="E80" t="s">
        <v>17</v>
      </c>
      <c r="F80">
        <v>550</v>
      </c>
      <c r="G80" t="s">
        <v>29</v>
      </c>
      <c r="H80" t="s">
        <v>37</v>
      </c>
      <c r="I80">
        <v>0.1</v>
      </c>
      <c r="J80" t="s">
        <v>55</v>
      </c>
      <c r="K80" t="s">
        <v>790</v>
      </c>
      <c r="R80" t="s">
        <v>21</v>
      </c>
      <c r="S80" t="s">
        <v>139</v>
      </c>
      <c r="W80" t="s">
        <v>140</v>
      </c>
      <c r="X80">
        <v>1960</v>
      </c>
      <c r="Y80" t="s">
        <v>142</v>
      </c>
      <c r="AA80" t="s">
        <v>798</v>
      </c>
    </row>
    <row r="81" spans="3:30" x14ac:dyDescent="0.2">
      <c r="C81" t="s">
        <v>16</v>
      </c>
      <c r="D81">
        <v>15</v>
      </c>
      <c r="E81" t="s">
        <v>17</v>
      </c>
      <c r="F81">
        <v>600</v>
      </c>
      <c r="G81" t="s">
        <v>29</v>
      </c>
      <c r="H81" t="s">
        <v>37</v>
      </c>
      <c r="I81">
        <v>0.1</v>
      </c>
      <c r="J81" t="s">
        <v>55</v>
      </c>
      <c r="K81" t="s">
        <v>790</v>
      </c>
      <c r="R81" t="s">
        <v>21</v>
      </c>
      <c r="S81" t="s">
        <v>139</v>
      </c>
      <c r="W81" t="s">
        <v>140</v>
      </c>
      <c r="X81">
        <v>1960</v>
      </c>
      <c r="Y81" t="s">
        <v>143</v>
      </c>
      <c r="AA81" t="s">
        <v>798</v>
      </c>
    </row>
    <row r="82" spans="3:30" x14ac:dyDescent="0.2">
      <c r="C82" t="s">
        <v>16</v>
      </c>
      <c r="D82">
        <v>15</v>
      </c>
      <c r="E82" t="s">
        <v>17</v>
      </c>
      <c r="F82">
        <v>650</v>
      </c>
      <c r="G82" t="s">
        <v>29</v>
      </c>
      <c r="H82" t="s">
        <v>37</v>
      </c>
      <c r="I82">
        <v>0.1</v>
      </c>
      <c r="J82" t="s">
        <v>55</v>
      </c>
      <c r="K82" t="s">
        <v>790</v>
      </c>
      <c r="R82" t="s">
        <v>21</v>
      </c>
      <c r="S82" t="s">
        <v>139</v>
      </c>
      <c r="W82" t="s">
        <v>140</v>
      </c>
      <c r="X82">
        <v>1960</v>
      </c>
      <c r="Y82" t="s">
        <v>144</v>
      </c>
      <c r="AA82" t="s">
        <v>798</v>
      </c>
    </row>
    <row r="83" spans="3:30" x14ac:dyDescent="0.2">
      <c r="C83" t="s">
        <v>16</v>
      </c>
      <c r="D83">
        <v>15</v>
      </c>
      <c r="E83" t="s">
        <v>17</v>
      </c>
      <c r="F83">
        <v>750</v>
      </c>
      <c r="G83" t="s">
        <v>29</v>
      </c>
      <c r="H83" t="s">
        <v>37</v>
      </c>
      <c r="I83">
        <v>0.1</v>
      </c>
      <c r="J83" t="s">
        <v>55</v>
      </c>
      <c r="K83" t="s">
        <v>790</v>
      </c>
      <c r="R83" t="s">
        <v>21</v>
      </c>
      <c r="S83" t="s">
        <v>139</v>
      </c>
      <c r="W83" t="s">
        <v>140</v>
      </c>
      <c r="X83">
        <v>1960</v>
      </c>
      <c r="Y83" t="s">
        <v>145</v>
      </c>
      <c r="AA83" t="s">
        <v>798</v>
      </c>
    </row>
    <row r="84" spans="3:30" x14ac:dyDescent="0.2">
      <c r="C84" t="s">
        <v>16</v>
      </c>
      <c r="D84">
        <v>15</v>
      </c>
      <c r="E84" t="s">
        <v>17</v>
      </c>
      <c r="F84">
        <v>850</v>
      </c>
      <c r="G84" t="s">
        <v>29</v>
      </c>
      <c r="H84" t="s">
        <v>37</v>
      </c>
      <c r="I84">
        <v>0.1</v>
      </c>
      <c r="J84" t="s">
        <v>55</v>
      </c>
      <c r="K84" t="s">
        <v>790</v>
      </c>
      <c r="R84" t="s">
        <v>21</v>
      </c>
      <c r="S84" t="s">
        <v>139</v>
      </c>
      <c r="W84" t="s">
        <v>140</v>
      </c>
      <c r="X84">
        <v>1960</v>
      </c>
      <c r="Y84" t="s">
        <v>146</v>
      </c>
      <c r="AA84" t="s">
        <v>798</v>
      </c>
    </row>
    <row r="85" spans="3:30" x14ac:dyDescent="0.2">
      <c r="C85" t="s">
        <v>16</v>
      </c>
      <c r="D85">
        <v>15</v>
      </c>
      <c r="E85" t="s">
        <v>17</v>
      </c>
      <c r="F85">
        <v>950</v>
      </c>
      <c r="G85" t="s">
        <v>29</v>
      </c>
      <c r="H85" t="s">
        <v>37</v>
      </c>
      <c r="I85">
        <v>0.1</v>
      </c>
      <c r="J85" t="s">
        <v>55</v>
      </c>
      <c r="K85" t="s">
        <v>790</v>
      </c>
      <c r="R85" t="s">
        <v>21</v>
      </c>
      <c r="S85" t="s">
        <v>139</v>
      </c>
      <c r="W85" t="s">
        <v>140</v>
      </c>
      <c r="X85">
        <v>1960</v>
      </c>
      <c r="Y85" t="s">
        <v>147</v>
      </c>
      <c r="AA85" t="s">
        <v>798</v>
      </c>
    </row>
    <row r="86" spans="3:30" x14ac:dyDescent="0.2">
      <c r="C86" t="s">
        <v>16</v>
      </c>
      <c r="D86">
        <v>15</v>
      </c>
      <c r="E86" t="s">
        <v>17</v>
      </c>
      <c r="F86">
        <v>1050</v>
      </c>
      <c r="G86" t="s">
        <v>29</v>
      </c>
      <c r="H86" t="s">
        <v>37</v>
      </c>
      <c r="I86">
        <v>0.1</v>
      </c>
      <c r="J86" t="s">
        <v>55</v>
      </c>
      <c r="K86" t="s">
        <v>790</v>
      </c>
      <c r="R86" t="s">
        <v>21</v>
      </c>
      <c r="S86" t="s">
        <v>139</v>
      </c>
      <c r="W86" t="s">
        <v>140</v>
      </c>
      <c r="X86">
        <v>1960</v>
      </c>
      <c r="Y86" t="s">
        <v>148</v>
      </c>
      <c r="AA86" t="s">
        <v>798</v>
      </c>
    </row>
    <row r="87" spans="3:30" x14ac:dyDescent="0.2">
      <c r="C87" t="s">
        <v>16</v>
      </c>
      <c r="D87">
        <v>15</v>
      </c>
      <c r="E87" t="s">
        <v>17</v>
      </c>
      <c r="F87">
        <v>1100</v>
      </c>
      <c r="G87" t="s">
        <v>29</v>
      </c>
      <c r="H87" t="s">
        <v>37</v>
      </c>
      <c r="I87">
        <v>0.1</v>
      </c>
      <c r="J87" t="s">
        <v>55</v>
      </c>
      <c r="K87" t="s">
        <v>790</v>
      </c>
      <c r="R87" t="s">
        <v>21</v>
      </c>
      <c r="S87" t="s">
        <v>139</v>
      </c>
      <c r="W87" t="s">
        <v>140</v>
      </c>
      <c r="X87">
        <v>1960</v>
      </c>
      <c r="Y87" t="s">
        <v>149</v>
      </c>
      <c r="AA87" t="s">
        <v>798</v>
      </c>
    </row>
    <row r="88" spans="3:30" x14ac:dyDescent="0.2">
      <c r="C88" t="s">
        <v>28</v>
      </c>
      <c r="D88">
        <v>16</v>
      </c>
      <c r="E88" t="s">
        <v>17</v>
      </c>
      <c r="F88">
        <v>1300</v>
      </c>
      <c r="G88" t="s">
        <v>18</v>
      </c>
      <c r="H88" t="s">
        <v>37</v>
      </c>
      <c r="I88">
        <v>5.0000000000000001E-4</v>
      </c>
      <c r="J88" t="s">
        <v>38</v>
      </c>
      <c r="K88" t="s">
        <v>790</v>
      </c>
      <c r="R88" t="s">
        <v>21</v>
      </c>
      <c r="S88" t="s">
        <v>150</v>
      </c>
      <c r="W88" t="s">
        <v>151</v>
      </c>
      <c r="X88">
        <v>1967</v>
      </c>
      <c r="Y88" t="s">
        <v>152</v>
      </c>
      <c r="AA88" t="s">
        <v>796</v>
      </c>
      <c r="AB88">
        <v>7</v>
      </c>
      <c r="AC88">
        <v>7</v>
      </c>
      <c r="AD88">
        <v>1</v>
      </c>
    </row>
    <row r="89" spans="3:30" x14ac:dyDescent="0.2">
      <c r="C89" t="s">
        <v>28</v>
      </c>
      <c r="D89">
        <v>16</v>
      </c>
      <c r="E89" t="s">
        <v>17</v>
      </c>
      <c r="F89">
        <v>1400</v>
      </c>
      <c r="G89" t="s">
        <v>18</v>
      </c>
      <c r="H89" t="s">
        <v>37</v>
      </c>
      <c r="I89">
        <v>5.0000000000000001E-4</v>
      </c>
      <c r="J89" t="s">
        <v>38</v>
      </c>
      <c r="K89" t="s">
        <v>790</v>
      </c>
      <c r="R89" t="s">
        <v>21</v>
      </c>
      <c r="S89" t="s">
        <v>150</v>
      </c>
      <c r="W89" t="s">
        <v>151</v>
      </c>
      <c r="X89">
        <v>1967</v>
      </c>
      <c r="Y89" t="s">
        <v>153</v>
      </c>
      <c r="AA89" t="s">
        <v>796</v>
      </c>
      <c r="AB89">
        <v>7</v>
      </c>
      <c r="AC89">
        <v>7</v>
      </c>
      <c r="AD89">
        <v>1</v>
      </c>
    </row>
    <row r="90" spans="3:30" x14ac:dyDescent="0.2">
      <c r="C90" t="s">
        <v>28</v>
      </c>
      <c r="D90">
        <v>16</v>
      </c>
      <c r="E90" t="s">
        <v>17</v>
      </c>
      <c r="F90">
        <v>1500</v>
      </c>
      <c r="G90" t="s">
        <v>18</v>
      </c>
      <c r="H90" t="s">
        <v>37</v>
      </c>
      <c r="I90">
        <v>5.0000000000000001E-4</v>
      </c>
      <c r="J90" t="s">
        <v>38</v>
      </c>
      <c r="K90" t="s">
        <v>790</v>
      </c>
      <c r="R90" t="s">
        <v>21</v>
      </c>
      <c r="S90" t="s">
        <v>150</v>
      </c>
      <c r="W90" t="s">
        <v>151</v>
      </c>
      <c r="X90">
        <v>1967</v>
      </c>
      <c r="Y90" t="s">
        <v>154</v>
      </c>
      <c r="AA90" t="s">
        <v>796</v>
      </c>
      <c r="AB90">
        <v>7</v>
      </c>
      <c r="AC90">
        <v>7</v>
      </c>
      <c r="AD90">
        <v>1</v>
      </c>
    </row>
    <row r="91" spans="3:30" x14ac:dyDescent="0.2">
      <c r="C91" t="s">
        <v>28</v>
      </c>
      <c r="D91">
        <v>16</v>
      </c>
      <c r="E91" t="s">
        <v>17</v>
      </c>
      <c r="F91">
        <v>1600</v>
      </c>
      <c r="G91" t="s">
        <v>18</v>
      </c>
      <c r="H91" t="s">
        <v>37</v>
      </c>
      <c r="I91">
        <v>5.0000000000000001E-4</v>
      </c>
      <c r="J91" t="s">
        <v>38</v>
      </c>
      <c r="K91" t="s">
        <v>790</v>
      </c>
      <c r="R91" t="s">
        <v>21</v>
      </c>
      <c r="S91" t="s">
        <v>150</v>
      </c>
      <c r="W91" t="s">
        <v>151</v>
      </c>
      <c r="X91">
        <v>1967</v>
      </c>
      <c r="Y91" t="s">
        <v>155</v>
      </c>
      <c r="AA91" t="s">
        <v>796</v>
      </c>
      <c r="AB91">
        <v>7</v>
      </c>
      <c r="AC91">
        <v>7</v>
      </c>
      <c r="AD91">
        <v>1</v>
      </c>
    </row>
    <row r="92" spans="3:30" x14ac:dyDescent="0.2">
      <c r="C92" t="s">
        <v>131</v>
      </c>
      <c r="D92">
        <v>18</v>
      </c>
      <c r="E92" t="s">
        <v>17</v>
      </c>
      <c r="F92">
        <v>1300</v>
      </c>
      <c r="G92" t="s">
        <v>18</v>
      </c>
      <c r="H92" t="s">
        <v>37</v>
      </c>
      <c r="I92">
        <v>0.1</v>
      </c>
      <c r="J92" t="s">
        <v>38</v>
      </c>
      <c r="K92" t="s">
        <v>790</v>
      </c>
      <c r="R92" t="s">
        <v>21</v>
      </c>
      <c r="S92" t="s">
        <v>156</v>
      </c>
      <c r="W92" t="s">
        <v>157</v>
      </c>
      <c r="X92">
        <v>1964</v>
      </c>
      <c r="Y92" t="s">
        <v>158</v>
      </c>
      <c r="AA92" t="s">
        <v>796</v>
      </c>
      <c r="AB92">
        <v>10</v>
      </c>
      <c r="AC92">
        <v>10</v>
      </c>
      <c r="AD92">
        <v>1.4</v>
      </c>
    </row>
    <row r="93" spans="3:30" x14ac:dyDescent="0.2">
      <c r="C93" t="s">
        <v>131</v>
      </c>
      <c r="D93">
        <v>18</v>
      </c>
      <c r="E93" t="s">
        <v>17</v>
      </c>
      <c r="F93">
        <v>1400</v>
      </c>
      <c r="G93" t="s">
        <v>18</v>
      </c>
      <c r="H93" t="s">
        <v>37</v>
      </c>
      <c r="I93">
        <v>0.1</v>
      </c>
      <c r="J93" t="s">
        <v>38</v>
      </c>
      <c r="K93" t="s">
        <v>790</v>
      </c>
      <c r="R93" t="s">
        <v>21</v>
      </c>
      <c r="S93" t="s">
        <v>156</v>
      </c>
      <c r="W93" t="s">
        <v>157</v>
      </c>
      <c r="X93">
        <v>1964</v>
      </c>
      <c r="Y93" t="s">
        <v>159</v>
      </c>
      <c r="AA93" t="s">
        <v>796</v>
      </c>
      <c r="AB93">
        <v>10</v>
      </c>
      <c r="AC93">
        <v>10</v>
      </c>
      <c r="AD93">
        <v>1.4</v>
      </c>
    </row>
    <row r="94" spans="3:30" x14ac:dyDescent="0.2">
      <c r="C94" t="s">
        <v>131</v>
      </c>
      <c r="D94">
        <v>18</v>
      </c>
      <c r="E94" t="s">
        <v>17</v>
      </c>
      <c r="F94">
        <v>1500</v>
      </c>
      <c r="G94" t="s">
        <v>18</v>
      </c>
      <c r="H94" t="s">
        <v>37</v>
      </c>
      <c r="I94">
        <v>0.1</v>
      </c>
      <c r="J94" t="s">
        <v>38</v>
      </c>
      <c r="K94" t="s">
        <v>790</v>
      </c>
      <c r="R94" t="s">
        <v>21</v>
      </c>
      <c r="S94" t="s">
        <v>156</v>
      </c>
      <c r="W94" t="s">
        <v>157</v>
      </c>
      <c r="X94">
        <v>1964</v>
      </c>
      <c r="Y94" t="s">
        <v>160</v>
      </c>
      <c r="AA94" t="s">
        <v>796</v>
      </c>
      <c r="AB94">
        <v>10</v>
      </c>
      <c r="AC94">
        <v>10</v>
      </c>
      <c r="AD94">
        <v>1.4</v>
      </c>
    </row>
    <row r="95" spans="3:30" x14ac:dyDescent="0.2">
      <c r="C95" t="s">
        <v>131</v>
      </c>
      <c r="D95">
        <v>18</v>
      </c>
      <c r="E95" t="s">
        <v>17</v>
      </c>
      <c r="F95">
        <v>1600</v>
      </c>
      <c r="G95" t="s">
        <v>18</v>
      </c>
      <c r="H95" t="s">
        <v>37</v>
      </c>
      <c r="I95">
        <v>0.1</v>
      </c>
      <c r="J95" t="s">
        <v>38</v>
      </c>
      <c r="K95" t="s">
        <v>790</v>
      </c>
      <c r="R95" t="s">
        <v>21</v>
      </c>
      <c r="S95" t="s">
        <v>156</v>
      </c>
      <c r="W95" t="s">
        <v>157</v>
      </c>
      <c r="X95">
        <v>1964</v>
      </c>
      <c r="Y95" t="s">
        <v>161</v>
      </c>
      <c r="AA95" t="s">
        <v>796</v>
      </c>
      <c r="AB95">
        <v>10</v>
      </c>
      <c r="AC95">
        <v>10</v>
      </c>
      <c r="AD95">
        <v>1.4</v>
      </c>
    </row>
    <row r="96" spans="3:30" x14ac:dyDescent="0.2">
      <c r="C96" t="s">
        <v>131</v>
      </c>
      <c r="D96">
        <v>18</v>
      </c>
      <c r="E96" t="s">
        <v>17</v>
      </c>
      <c r="F96">
        <v>1700</v>
      </c>
      <c r="G96" t="s">
        <v>18</v>
      </c>
      <c r="H96" t="s">
        <v>37</v>
      </c>
      <c r="I96">
        <v>0.1</v>
      </c>
      <c r="J96" t="s">
        <v>38</v>
      </c>
      <c r="K96" t="s">
        <v>790</v>
      </c>
      <c r="R96" t="s">
        <v>21</v>
      </c>
      <c r="S96" t="s">
        <v>156</v>
      </c>
      <c r="W96" t="s">
        <v>157</v>
      </c>
      <c r="X96">
        <v>1964</v>
      </c>
      <c r="Y96" t="s">
        <v>162</v>
      </c>
      <c r="AA96" t="s">
        <v>796</v>
      </c>
      <c r="AB96">
        <v>10</v>
      </c>
      <c r="AC96">
        <v>10</v>
      </c>
      <c r="AD96">
        <v>1.4</v>
      </c>
    </row>
    <row r="97" spans="3:30" x14ac:dyDescent="0.2">
      <c r="C97" t="s">
        <v>112</v>
      </c>
      <c r="D97">
        <v>19</v>
      </c>
      <c r="E97" t="s">
        <v>17</v>
      </c>
      <c r="F97">
        <v>700</v>
      </c>
      <c r="G97" t="s">
        <v>132</v>
      </c>
      <c r="H97" t="s">
        <v>95</v>
      </c>
      <c r="I97">
        <v>160</v>
      </c>
      <c r="J97" t="s">
        <v>20</v>
      </c>
      <c r="K97" t="s">
        <v>790</v>
      </c>
      <c r="R97" t="s">
        <v>21</v>
      </c>
      <c r="S97" t="s">
        <v>163</v>
      </c>
      <c r="V97">
        <v>2100</v>
      </c>
      <c r="W97" t="s">
        <v>164</v>
      </c>
      <c r="X97">
        <v>1994</v>
      </c>
      <c r="Y97" t="s">
        <v>165</v>
      </c>
      <c r="AA97" t="s">
        <v>796</v>
      </c>
      <c r="AB97">
        <v>7</v>
      </c>
      <c r="AC97">
        <v>7</v>
      </c>
      <c r="AD97">
        <v>7</v>
      </c>
    </row>
    <row r="98" spans="3:30" x14ac:dyDescent="0.2">
      <c r="C98" t="s">
        <v>112</v>
      </c>
      <c r="D98">
        <v>19</v>
      </c>
      <c r="E98" t="s">
        <v>17</v>
      </c>
      <c r="F98">
        <v>800</v>
      </c>
      <c r="G98" t="s">
        <v>132</v>
      </c>
      <c r="H98" t="s">
        <v>95</v>
      </c>
      <c r="I98">
        <v>160</v>
      </c>
      <c r="J98" t="s">
        <v>20</v>
      </c>
      <c r="K98" t="s">
        <v>790</v>
      </c>
      <c r="R98" t="s">
        <v>21</v>
      </c>
      <c r="S98" t="s">
        <v>163</v>
      </c>
      <c r="V98">
        <v>2100</v>
      </c>
      <c r="W98" t="s">
        <v>164</v>
      </c>
      <c r="X98">
        <v>1994</v>
      </c>
      <c r="Y98" t="s">
        <v>166</v>
      </c>
      <c r="AA98" t="s">
        <v>796</v>
      </c>
      <c r="AB98">
        <v>7</v>
      </c>
      <c r="AC98">
        <v>7</v>
      </c>
      <c r="AD98">
        <v>7</v>
      </c>
    </row>
    <row r="99" spans="3:30" x14ac:dyDescent="0.2">
      <c r="C99" t="s">
        <v>112</v>
      </c>
      <c r="D99">
        <v>19</v>
      </c>
      <c r="E99" t="s">
        <v>17</v>
      </c>
      <c r="F99">
        <v>900</v>
      </c>
      <c r="G99" t="s">
        <v>132</v>
      </c>
      <c r="H99" t="s">
        <v>95</v>
      </c>
      <c r="I99">
        <v>160</v>
      </c>
      <c r="J99" t="s">
        <v>20</v>
      </c>
      <c r="K99" t="s">
        <v>790</v>
      </c>
      <c r="R99" t="s">
        <v>21</v>
      </c>
      <c r="S99" t="s">
        <v>163</v>
      </c>
      <c r="V99">
        <v>2100</v>
      </c>
      <c r="W99" t="s">
        <v>164</v>
      </c>
      <c r="X99">
        <v>1994</v>
      </c>
      <c r="Y99" t="s">
        <v>167</v>
      </c>
      <c r="AA99" t="s">
        <v>796</v>
      </c>
      <c r="AB99">
        <v>7</v>
      </c>
      <c r="AC99">
        <v>7</v>
      </c>
      <c r="AD99">
        <v>7</v>
      </c>
    </row>
    <row r="100" spans="3:30" x14ac:dyDescent="0.2">
      <c r="C100" t="s">
        <v>112</v>
      </c>
      <c r="D100">
        <v>19</v>
      </c>
      <c r="E100" t="s">
        <v>17</v>
      </c>
      <c r="F100">
        <v>1000</v>
      </c>
      <c r="G100" t="s">
        <v>132</v>
      </c>
      <c r="H100" t="s">
        <v>95</v>
      </c>
      <c r="I100">
        <v>160</v>
      </c>
      <c r="J100" t="s">
        <v>20</v>
      </c>
      <c r="K100" t="s">
        <v>790</v>
      </c>
      <c r="R100" t="s">
        <v>21</v>
      </c>
      <c r="S100" t="s">
        <v>163</v>
      </c>
      <c r="V100">
        <v>2100</v>
      </c>
      <c r="W100" t="s">
        <v>164</v>
      </c>
      <c r="X100">
        <v>1994</v>
      </c>
      <c r="Y100" t="s">
        <v>168</v>
      </c>
      <c r="AA100" t="s">
        <v>796</v>
      </c>
      <c r="AB100">
        <v>7</v>
      </c>
      <c r="AC100">
        <v>7</v>
      </c>
      <c r="AD100">
        <v>7</v>
      </c>
    </row>
    <row r="101" spans="3:30" x14ac:dyDescent="0.2">
      <c r="C101" t="s">
        <v>112</v>
      </c>
      <c r="D101">
        <v>19</v>
      </c>
      <c r="E101" t="s">
        <v>17</v>
      </c>
      <c r="F101">
        <v>1100</v>
      </c>
      <c r="G101" t="s">
        <v>132</v>
      </c>
      <c r="H101" t="s">
        <v>95</v>
      </c>
      <c r="I101">
        <v>160</v>
      </c>
      <c r="J101" t="s">
        <v>20</v>
      </c>
      <c r="K101" t="s">
        <v>790</v>
      </c>
      <c r="R101" t="s">
        <v>21</v>
      </c>
      <c r="S101" t="s">
        <v>163</v>
      </c>
      <c r="V101">
        <v>2100</v>
      </c>
      <c r="W101" t="s">
        <v>164</v>
      </c>
      <c r="X101">
        <v>1994</v>
      </c>
      <c r="Y101" t="s">
        <v>169</v>
      </c>
      <c r="AA101" t="s">
        <v>796</v>
      </c>
      <c r="AB101">
        <v>7</v>
      </c>
      <c r="AC101">
        <v>7</v>
      </c>
      <c r="AD101">
        <v>7</v>
      </c>
    </row>
    <row r="102" spans="3:30" x14ac:dyDescent="0.2">
      <c r="C102" t="s">
        <v>112</v>
      </c>
      <c r="D102">
        <v>19</v>
      </c>
      <c r="E102" t="s">
        <v>17</v>
      </c>
      <c r="F102">
        <v>1200</v>
      </c>
      <c r="G102" t="s">
        <v>132</v>
      </c>
      <c r="H102" t="s">
        <v>95</v>
      </c>
      <c r="I102">
        <v>160</v>
      </c>
      <c r="J102" t="s">
        <v>20</v>
      </c>
      <c r="K102" t="s">
        <v>790</v>
      </c>
      <c r="R102" t="s">
        <v>21</v>
      </c>
      <c r="S102" t="s">
        <v>163</v>
      </c>
      <c r="V102">
        <v>2100</v>
      </c>
      <c r="W102" t="s">
        <v>164</v>
      </c>
      <c r="X102">
        <v>1994</v>
      </c>
      <c r="Y102" t="s">
        <v>170</v>
      </c>
      <c r="AA102" t="s">
        <v>796</v>
      </c>
      <c r="AB102">
        <v>7</v>
      </c>
      <c r="AC102">
        <v>7</v>
      </c>
      <c r="AD102">
        <v>7</v>
      </c>
    </row>
    <row r="103" spans="3:30" x14ac:dyDescent="0.2">
      <c r="C103" t="s">
        <v>112</v>
      </c>
      <c r="D103">
        <v>19</v>
      </c>
      <c r="E103" t="s">
        <v>17</v>
      </c>
      <c r="F103">
        <v>1300</v>
      </c>
      <c r="G103" t="s">
        <v>132</v>
      </c>
      <c r="H103" t="s">
        <v>95</v>
      </c>
      <c r="I103">
        <v>160</v>
      </c>
      <c r="J103" t="s">
        <v>20</v>
      </c>
      <c r="K103" t="s">
        <v>790</v>
      </c>
      <c r="R103" t="s">
        <v>21</v>
      </c>
      <c r="S103" t="s">
        <v>163</v>
      </c>
      <c r="V103">
        <v>2100</v>
      </c>
      <c r="W103" t="s">
        <v>164</v>
      </c>
      <c r="X103">
        <v>1994</v>
      </c>
      <c r="Y103" t="s">
        <v>171</v>
      </c>
      <c r="AA103" t="s">
        <v>796</v>
      </c>
      <c r="AB103">
        <v>7</v>
      </c>
      <c r="AC103">
        <v>7</v>
      </c>
      <c r="AD103">
        <v>7</v>
      </c>
    </row>
    <row r="104" spans="3:30" x14ac:dyDescent="0.2">
      <c r="C104" t="s">
        <v>44</v>
      </c>
      <c r="D104">
        <v>24</v>
      </c>
      <c r="E104" t="s">
        <v>17</v>
      </c>
      <c r="F104">
        <v>1000</v>
      </c>
      <c r="G104" t="s">
        <v>79</v>
      </c>
      <c r="H104" t="s">
        <v>95</v>
      </c>
      <c r="I104">
        <v>160</v>
      </c>
      <c r="J104" t="s">
        <v>20</v>
      </c>
      <c r="K104" t="s">
        <v>790</v>
      </c>
      <c r="R104" t="s">
        <v>21</v>
      </c>
      <c r="S104" t="s">
        <v>172</v>
      </c>
      <c r="W104" t="s">
        <v>173</v>
      </c>
      <c r="X104">
        <v>1953</v>
      </c>
      <c r="Y104" t="s">
        <v>174</v>
      </c>
      <c r="AA104" t="s">
        <v>796</v>
      </c>
      <c r="AB104">
        <v>7.9375</v>
      </c>
      <c r="AC104">
        <v>50.8</v>
      </c>
      <c r="AD104">
        <v>6.096E-2</v>
      </c>
    </row>
    <row r="105" spans="3:30" x14ac:dyDescent="0.2">
      <c r="C105" t="s">
        <v>175</v>
      </c>
      <c r="D105">
        <v>25</v>
      </c>
      <c r="E105" t="s">
        <v>176</v>
      </c>
      <c r="F105">
        <v>1000</v>
      </c>
      <c r="G105" t="s">
        <v>18</v>
      </c>
      <c r="H105" t="s">
        <v>95</v>
      </c>
      <c r="I105">
        <v>160</v>
      </c>
      <c r="J105" t="s">
        <v>20</v>
      </c>
      <c r="K105" t="s">
        <v>790</v>
      </c>
      <c r="N105">
        <v>512</v>
      </c>
      <c r="O105">
        <v>100</v>
      </c>
      <c r="R105" t="s">
        <v>21</v>
      </c>
      <c r="S105" t="s">
        <v>177</v>
      </c>
      <c r="W105" t="s">
        <v>178</v>
      </c>
      <c r="X105">
        <v>2017</v>
      </c>
      <c r="Y105" t="s">
        <v>179</v>
      </c>
      <c r="AA105" t="s">
        <v>796</v>
      </c>
      <c r="AB105">
        <v>100</v>
      </c>
      <c r="AC105">
        <v>30</v>
      </c>
      <c r="AD105">
        <v>12</v>
      </c>
    </row>
    <row r="106" spans="3:30" x14ac:dyDescent="0.2">
      <c r="C106" t="s">
        <v>180</v>
      </c>
      <c r="D106">
        <v>25</v>
      </c>
      <c r="E106" t="s">
        <v>176</v>
      </c>
      <c r="F106">
        <v>1000</v>
      </c>
      <c r="G106" t="s">
        <v>18</v>
      </c>
      <c r="H106" t="s">
        <v>95</v>
      </c>
      <c r="I106">
        <v>160</v>
      </c>
      <c r="J106" t="s">
        <v>20</v>
      </c>
      <c r="K106" t="s">
        <v>790</v>
      </c>
      <c r="N106">
        <v>1550</v>
      </c>
      <c r="O106">
        <v>9</v>
      </c>
      <c r="R106" t="s">
        <v>21</v>
      </c>
      <c r="S106" t="s">
        <v>177</v>
      </c>
      <c r="W106" t="s">
        <v>181</v>
      </c>
      <c r="X106">
        <v>2017</v>
      </c>
      <c r="Y106" t="s">
        <v>182</v>
      </c>
      <c r="AA106" t="s">
        <v>796</v>
      </c>
      <c r="AB106">
        <v>100</v>
      </c>
      <c r="AC106">
        <v>30</v>
      </c>
      <c r="AD106">
        <v>12</v>
      </c>
    </row>
    <row r="107" spans="3:30" x14ac:dyDescent="0.2">
      <c r="C107" t="s">
        <v>183</v>
      </c>
      <c r="D107">
        <v>27</v>
      </c>
      <c r="E107" t="s">
        <v>176</v>
      </c>
      <c r="F107">
        <v>800</v>
      </c>
      <c r="G107" t="s">
        <v>18</v>
      </c>
      <c r="H107" t="s">
        <v>95</v>
      </c>
      <c r="I107">
        <v>160</v>
      </c>
      <c r="J107" t="s">
        <v>20</v>
      </c>
      <c r="K107" t="s">
        <v>790</v>
      </c>
      <c r="P107" t="s">
        <v>184</v>
      </c>
      <c r="Q107" t="s">
        <v>185</v>
      </c>
      <c r="R107" t="s">
        <v>21</v>
      </c>
      <c r="S107" t="s">
        <v>186</v>
      </c>
      <c r="W107" t="s">
        <v>187</v>
      </c>
      <c r="X107">
        <v>2016</v>
      </c>
      <c r="Y107" t="s">
        <v>188</v>
      </c>
      <c r="AA107" t="s">
        <v>796</v>
      </c>
    </row>
    <row r="108" spans="3:30" x14ac:dyDescent="0.2">
      <c r="C108" t="s">
        <v>183</v>
      </c>
      <c r="D108">
        <v>27</v>
      </c>
      <c r="E108" t="s">
        <v>176</v>
      </c>
      <c r="F108">
        <v>1100</v>
      </c>
      <c r="G108" t="s">
        <v>18</v>
      </c>
      <c r="H108" t="s">
        <v>95</v>
      </c>
      <c r="I108">
        <v>160</v>
      </c>
      <c r="J108" t="s">
        <v>20</v>
      </c>
      <c r="K108" t="s">
        <v>790</v>
      </c>
      <c r="P108" t="s">
        <v>189</v>
      </c>
      <c r="Q108" t="s">
        <v>185</v>
      </c>
      <c r="R108" t="s">
        <v>21</v>
      </c>
      <c r="S108" t="s">
        <v>186</v>
      </c>
      <c r="W108" t="s">
        <v>187</v>
      </c>
      <c r="X108">
        <v>2016</v>
      </c>
      <c r="Y108" t="s">
        <v>190</v>
      </c>
      <c r="AA108" t="s">
        <v>796</v>
      </c>
    </row>
    <row r="109" spans="3:30" x14ac:dyDescent="0.2">
      <c r="C109" t="s">
        <v>183</v>
      </c>
      <c r="D109">
        <v>27</v>
      </c>
      <c r="E109" t="s">
        <v>176</v>
      </c>
      <c r="F109">
        <v>1200</v>
      </c>
      <c r="G109" t="s">
        <v>18</v>
      </c>
      <c r="H109" t="s">
        <v>95</v>
      </c>
      <c r="I109">
        <v>160</v>
      </c>
      <c r="J109" t="s">
        <v>20</v>
      </c>
      <c r="K109" t="s">
        <v>790</v>
      </c>
      <c r="P109" t="s">
        <v>191</v>
      </c>
      <c r="Q109" t="s">
        <v>185</v>
      </c>
      <c r="R109" t="s">
        <v>21</v>
      </c>
      <c r="S109" t="s">
        <v>186</v>
      </c>
      <c r="W109" t="s">
        <v>187</v>
      </c>
      <c r="X109">
        <v>2016</v>
      </c>
      <c r="Y109" t="s">
        <v>192</v>
      </c>
      <c r="AA109" t="s">
        <v>796</v>
      </c>
    </row>
    <row r="110" spans="3:30" x14ac:dyDescent="0.2">
      <c r="C110" t="s">
        <v>193</v>
      </c>
      <c r="D110">
        <v>28</v>
      </c>
      <c r="E110" t="s">
        <v>176</v>
      </c>
      <c r="F110">
        <v>1300</v>
      </c>
      <c r="G110" t="s">
        <v>18</v>
      </c>
      <c r="H110" t="s">
        <v>95</v>
      </c>
      <c r="I110">
        <v>160</v>
      </c>
      <c r="J110" t="s">
        <v>20</v>
      </c>
      <c r="K110" t="s">
        <v>790</v>
      </c>
      <c r="P110" t="s">
        <v>194</v>
      </c>
      <c r="Q110" t="s">
        <v>195</v>
      </c>
      <c r="R110" t="s">
        <v>196</v>
      </c>
      <c r="S110" t="s">
        <v>197</v>
      </c>
      <c r="W110" t="s">
        <v>198</v>
      </c>
      <c r="X110">
        <v>2014</v>
      </c>
      <c r="Y110" t="s">
        <v>199</v>
      </c>
      <c r="AA110" t="s">
        <v>796</v>
      </c>
      <c r="AB110">
        <v>10</v>
      </c>
      <c r="AC110">
        <v>6</v>
      </c>
      <c r="AD110">
        <v>4</v>
      </c>
    </row>
    <row r="111" spans="3:30" x14ac:dyDescent="0.2">
      <c r="C111" t="s">
        <v>200</v>
      </c>
      <c r="D111">
        <v>28</v>
      </c>
      <c r="E111" t="s">
        <v>176</v>
      </c>
      <c r="F111">
        <v>1300</v>
      </c>
      <c r="G111" t="s">
        <v>18</v>
      </c>
      <c r="H111" t="s">
        <v>95</v>
      </c>
      <c r="I111">
        <v>160</v>
      </c>
      <c r="J111" t="s">
        <v>20</v>
      </c>
      <c r="K111" t="s">
        <v>790</v>
      </c>
      <c r="P111" t="s">
        <v>201</v>
      </c>
      <c r="Q111" t="s">
        <v>185</v>
      </c>
      <c r="R111" t="s">
        <v>196</v>
      </c>
      <c r="S111" t="s">
        <v>197</v>
      </c>
      <c r="W111" t="s">
        <v>198</v>
      </c>
      <c r="X111">
        <v>2014</v>
      </c>
      <c r="Y111" t="s">
        <v>202</v>
      </c>
      <c r="AA111" t="s">
        <v>796</v>
      </c>
      <c r="AB111">
        <v>10</v>
      </c>
      <c r="AC111">
        <v>6</v>
      </c>
      <c r="AD111">
        <v>4</v>
      </c>
    </row>
    <row r="112" spans="3:30" x14ac:dyDescent="0.2">
      <c r="C112" t="s">
        <v>203</v>
      </c>
      <c r="D112">
        <v>28</v>
      </c>
      <c r="E112" t="s">
        <v>176</v>
      </c>
      <c r="F112">
        <v>1300</v>
      </c>
      <c r="G112" t="s">
        <v>18</v>
      </c>
      <c r="H112" t="s">
        <v>95</v>
      </c>
      <c r="I112">
        <v>160</v>
      </c>
      <c r="J112" t="s">
        <v>20</v>
      </c>
      <c r="K112" t="s">
        <v>790</v>
      </c>
      <c r="P112" t="s">
        <v>204</v>
      </c>
      <c r="Q112" t="s">
        <v>185</v>
      </c>
      <c r="R112" t="s">
        <v>196</v>
      </c>
      <c r="S112" t="s">
        <v>197</v>
      </c>
      <c r="W112" t="s">
        <v>198</v>
      </c>
      <c r="X112">
        <v>2014</v>
      </c>
      <c r="Y112" t="s">
        <v>205</v>
      </c>
      <c r="AA112" t="s">
        <v>796</v>
      </c>
      <c r="AB112">
        <v>10</v>
      </c>
      <c r="AC112">
        <v>6</v>
      </c>
      <c r="AD112">
        <v>4</v>
      </c>
    </row>
    <row r="113" spans="3:30" x14ac:dyDescent="0.2">
      <c r="C113" t="s">
        <v>206</v>
      </c>
      <c r="D113">
        <v>28</v>
      </c>
      <c r="E113" t="s">
        <v>176</v>
      </c>
      <c r="F113">
        <v>1300</v>
      </c>
      <c r="G113" t="s">
        <v>18</v>
      </c>
      <c r="H113" t="s">
        <v>95</v>
      </c>
      <c r="I113">
        <v>160</v>
      </c>
      <c r="J113" t="s">
        <v>20</v>
      </c>
      <c r="K113" t="s">
        <v>790</v>
      </c>
      <c r="P113" t="s">
        <v>207</v>
      </c>
      <c r="Q113" t="s">
        <v>185</v>
      </c>
      <c r="R113" t="s">
        <v>196</v>
      </c>
      <c r="S113" t="s">
        <v>197</v>
      </c>
      <c r="W113" t="s">
        <v>198</v>
      </c>
      <c r="X113">
        <v>2014</v>
      </c>
      <c r="Y113" t="s">
        <v>208</v>
      </c>
      <c r="AA113" t="s">
        <v>796</v>
      </c>
      <c r="AB113">
        <v>10</v>
      </c>
      <c r="AC113">
        <v>6</v>
      </c>
      <c r="AD113">
        <v>4</v>
      </c>
    </row>
    <row r="114" spans="3:30" x14ac:dyDescent="0.2">
      <c r="C114" t="s">
        <v>209</v>
      </c>
      <c r="D114">
        <v>29</v>
      </c>
      <c r="E114" t="s">
        <v>176</v>
      </c>
      <c r="F114">
        <v>1000</v>
      </c>
      <c r="G114" t="s">
        <v>18</v>
      </c>
      <c r="H114" t="s">
        <v>95</v>
      </c>
      <c r="I114">
        <v>160</v>
      </c>
      <c r="J114" t="s">
        <v>20</v>
      </c>
      <c r="K114" t="s">
        <v>790</v>
      </c>
      <c r="P114" t="s">
        <v>210</v>
      </c>
      <c r="Q114" t="s">
        <v>185</v>
      </c>
      <c r="R114" t="s">
        <v>21</v>
      </c>
      <c r="S114" t="s">
        <v>186</v>
      </c>
      <c r="W114" t="s">
        <v>211</v>
      </c>
      <c r="X114">
        <v>2012</v>
      </c>
      <c r="Y114" t="s">
        <v>212</v>
      </c>
      <c r="AA114" t="s">
        <v>796</v>
      </c>
      <c r="AB114">
        <v>10</v>
      </c>
      <c r="AC114">
        <v>6</v>
      </c>
      <c r="AD114">
        <v>4</v>
      </c>
    </row>
    <row r="115" spans="3:30" x14ac:dyDescent="0.2">
      <c r="C115" t="s">
        <v>213</v>
      </c>
      <c r="D115">
        <v>30</v>
      </c>
      <c r="E115" t="s">
        <v>176</v>
      </c>
      <c r="F115">
        <v>700</v>
      </c>
      <c r="G115" t="s">
        <v>18</v>
      </c>
      <c r="H115" t="s">
        <v>95</v>
      </c>
      <c r="I115">
        <v>160</v>
      </c>
      <c r="J115" t="s">
        <v>20</v>
      </c>
      <c r="K115" t="s">
        <v>790</v>
      </c>
      <c r="P115" t="s">
        <v>210</v>
      </c>
      <c r="Q115" t="s">
        <v>185</v>
      </c>
      <c r="R115" t="s">
        <v>196</v>
      </c>
      <c r="S115" t="s">
        <v>197</v>
      </c>
      <c r="W115" t="s">
        <v>214</v>
      </c>
      <c r="X115">
        <v>2018</v>
      </c>
      <c r="Y115" t="s">
        <v>215</v>
      </c>
      <c r="AA115" t="s">
        <v>797</v>
      </c>
      <c r="AB115">
        <v>8</v>
      </c>
      <c r="AC115">
        <v>8</v>
      </c>
      <c r="AD115">
        <v>3</v>
      </c>
    </row>
    <row r="116" spans="3:30" x14ac:dyDescent="0.2">
      <c r="C116" t="s">
        <v>213</v>
      </c>
      <c r="D116">
        <v>30</v>
      </c>
      <c r="E116" t="s">
        <v>176</v>
      </c>
      <c r="F116">
        <v>900</v>
      </c>
      <c r="G116" t="s">
        <v>18</v>
      </c>
      <c r="H116" t="s">
        <v>95</v>
      </c>
      <c r="I116">
        <v>160</v>
      </c>
      <c r="J116" t="s">
        <v>20</v>
      </c>
      <c r="K116" t="s">
        <v>790</v>
      </c>
      <c r="P116" t="s">
        <v>210</v>
      </c>
      <c r="Q116" t="s">
        <v>185</v>
      </c>
      <c r="R116" t="s">
        <v>196</v>
      </c>
      <c r="S116" t="s">
        <v>197</v>
      </c>
      <c r="W116" t="s">
        <v>214</v>
      </c>
      <c r="X116">
        <v>2018</v>
      </c>
      <c r="Y116" t="s">
        <v>216</v>
      </c>
      <c r="AA116" t="s">
        <v>797</v>
      </c>
      <c r="AB116">
        <v>8</v>
      </c>
      <c r="AC116">
        <v>8</v>
      </c>
      <c r="AD116">
        <v>3</v>
      </c>
    </row>
    <row r="117" spans="3:30" x14ac:dyDescent="0.2">
      <c r="C117" t="s">
        <v>213</v>
      </c>
      <c r="D117">
        <v>30</v>
      </c>
      <c r="E117" t="s">
        <v>176</v>
      </c>
      <c r="F117">
        <v>1100</v>
      </c>
      <c r="G117" t="s">
        <v>18</v>
      </c>
      <c r="H117" t="s">
        <v>95</v>
      </c>
      <c r="I117">
        <v>160</v>
      </c>
      <c r="J117" t="s">
        <v>20</v>
      </c>
      <c r="K117" t="s">
        <v>790</v>
      </c>
      <c r="P117" t="s">
        <v>210</v>
      </c>
      <c r="Q117" t="s">
        <v>185</v>
      </c>
      <c r="R117" t="s">
        <v>196</v>
      </c>
      <c r="S117" t="s">
        <v>197</v>
      </c>
      <c r="W117" t="s">
        <v>214</v>
      </c>
      <c r="X117">
        <v>2018</v>
      </c>
      <c r="Y117" t="s">
        <v>217</v>
      </c>
      <c r="AA117" t="s">
        <v>797</v>
      </c>
      <c r="AB117">
        <v>8</v>
      </c>
      <c r="AC117">
        <v>8</v>
      </c>
      <c r="AD117">
        <v>3</v>
      </c>
    </row>
    <row r="118" spans="3:30" x14ac:dyDescent="0.2">
      <c r="C118" t="s">
        <v>213</v>
      </c>
      <c r="D118">
        <v>30</v>
      </c>
      <c r="E118" t="s">
        <v>176</v>
      </c>
      <c r="F118">
        <v>1300</v>
      </c>
      <c r="G118" t="s">
        <v>18</v>
      </c>
      <c r="H118" t="s">
        <v>95</v>
      </c>
      <c r="I118">
        <v>160</v>
      </c>
      <c r="J118" t="s">
        <v>20</v>
      </c>
      <c r="K118" t="s">
        <v>790</v>
      </c>
      <c r="O118">
        <v>51</v>
      </c>
      <c r="P118" t="s">
        <v>210</v>
      </c>
      <c r="Q118" t="s">
        <v>185</v>
      </c>
      <c r="R118" t="s">
        <v>196</v>
      </c>
      <c r="S118" t="s">
        <v>197</v>
      </c>
      <c r="W118" t="s">
        <v>214</v>
      </c>
      <c r="X118">
        <v>2018</v>
      </c>
      <c r="Y118" t="s">
        <v>218</v>
      </c>
      <c r="AA118" t="s">
        <v>797</v>
      </c>
      <c r="AB118">
        <v>8</v>
      </c>
      <c r="AC118">
        <v>8</v>
      </c>
      <c r="AD118">
        <v>3</v>
      </c>
    </row>
    <row r="119" spans="3:30" x14ac:dyDescent="0.2">
      <c r="C119" t="s">
        <v>219</v>
      </c>
      <c r="D119">
        <v>30</v>
      </c>
      <c r="E119" t="s">
        <v>176</v>
      </c>
      <c r="F119">
        <v>700</v>
      </c>
      <c r="G119" t="s">
        <v>18</v>
      </c>
      <c r="H119" t="s">
        <v>95</v>
      </c>
      <c r="I119">
        <v>160</v>
      </c>
      <c r="J119" t="s">
        <v>20</v>
      </c>
      <c r="K119" t="s">
        <v>790</v>
      </c>
      <c r="P119" t="s">
        <v>210</v>
      </c>
      <c r="Q119" t="s">
        <v>185</v>
      </c>
      <c r="R119" t="s">
        <v>196</v>
      </c>
      <c r="S119" t="s">
        <v>197</v>
      </c>
      <c r="W119" t="s">
        <v>214</v>
      </c>
      <c r="X119">
        <v>2018</v>
      </c>
      <c r="Y119" t="s">
        <v>220</v>
      </c>
      <c r="AA119" t="s">
        <v>797</v>
      </c>
      <c r="AB119">
        <v>8</v>
      </c>
      <c r="AC119">
        <v>8</v>
      </c>
      <c r="AD119">
        <v>3</v>
      </c>
    </row>
    <row r="120" spans="3:30" x14ac:dyDescent="0.2">
      <c r="C120" t="s">
        <v>219</v>
      </c>
      <c r="D120">
        <v>30</v>
      </c>
      <c r="E120" t="s">
        <v>176</v>
      </c>
      <c r="F120">
        <v>900</v>
      </c>
      <c r="G120" t="s">
        <v>18</v>
      </c>
      <c r="H120" t="s">
        <v>95</v>
      </c>
      <c r="I120">
        <v>160</v>
      </c>
      <c r="J120" t="s">
        <v>20</v>
      </c>
      <c r="K120" t="s">
        <v>790</v>
      </c>
      <c r="P120" t="s">
        <v>210</v>
      </c>
      <c r="Q120" t="s">
        <v>185</v>
      </c>
      <c r="R120" t="s">
        <v>196</v>
      </c>
      <c r="S120" t="s">
        <v>197</v>
      </c>
      <c r="W120" t="s">
        <v>214</v>
      </c>
      <c r="X120">
        <v>2018</v>
      </c>
      <c r="Y120" t="s">
        <v>221</v>
      </c>
      <c r="AA120" t="s">
        <v>797</v>
      </c>
      <c r="AB120">
        <v>8</v>
      </c>
      <c r="AC120">
        <v>8</v>
      </c>
      <c r="AD120">
        <v>3</v>
      </c>
    </row>
    <row r="121" spans="3:30" x14ac:dyDescent="0.2">
      <c r="C121" t="s">
        <v>219</v>
      </c>
      <c r="D121">
        <v>30</v>
      </c>
      <c r="E121" t="s">
        <v>176</v>
      </c>
      <c r="F121">
        <v>1100</v>
      </c>
      <c r="G121" t="s">
        <v>18</v>
      </c>
      <c r="H121" t="s">
        <v>95</v>
      </c>
      <c r="I121">
        <v>160</v>
      </c>
      <c r="J121" t="s">
        <v>20</v>
      </c>
      <c r="K121" t="s">
        <v>790</v>
      </c>
      <c r="P121" t="s">
        <v>210</v>
      </c>
      <c r="Q121" t="s">
        <v>185</v>
      </c>
      <c r="R121" t="s">
        <v>196</v>
      </c>
      <c r="S121" t="s">
        <v>197</v>
      </c>
      <c r="W121" t="s">
        <v>214</v>
      </c>
      <c r="X121">
        <v>2018</v>
      </c>
      <c r="Y121" t="s">
        <v>222</v>
      </c>
      <c r="AA121" t="s">
        <v>797</v>
      </c>
      <c r="AB121">
        <v>8</v>
      </c>
      <c r="AC121">
        <v>8</v>
      </c>
      <c r="AD121">
        <v>3</v>
      </c>
    </row>
    <row r="122" spans="3:30" x14ac:dyDescent="0.2">
      <c r="C122" t="s">
        <v>219</v>
      </c>
      <c r="D122">
        <v>30</v>
      </c>
      <c r="E122" t="s">
        <v>176</v>
      </c>
      <c r="F122">
        <v>1300</v>
      </c>
      <c r="G122" t="s">
        <v>18</v>
      </c>
      <c r="H122" t="s">
        <v>95</v>
      </c>
      <c r="I122">
        <v>160</v>
      </c>
      <c r="J122" t="s">
        <v>20</v>
      </c>
      <c r="K122" t="s">
        <v>790</v>
      </c>
      <c r="O122">
        <v>50</v>
      </c>
      <c r="P122" t="s">
        <v>210</v>
      </c>
      <c r="Q122" t="s">
        <v>185</v>
      </c>
      <c r="R122" t="s">
        <v>196</v>
      </c>
      <c r="S122" t="s">
        <v>197</v>
      </c>
      <c r="W122" t="s">
        <v>214</v>
      </c>
      <c r="X122">
        <v>2018</v>
      </c>
      <c r="Y122" t="s">
        <v>223</v>
      </c>
      <c r="AA122" t="s">
        <v>797</v>
      </c>
      <c r="AB122">
        <v>8</v>
      </c>
      <c r="AC122">
        <v>8</v>
      </c>
      <c r="AD122">
        <v>3</v>
      </c>
    </row>
    <row r="123" spans="3:30" x14ac:dyDescent="0.2">
      <c r="C123" t="s">
        <v>224</v>
      </c>
      <c r="D123">
        <v>30</v>
      </c>
      <c r="E123" t="s">
        <v>176</v>
      </c>
      <c r="F123">
        <v>700</v>
      </c>
      <c r="G123" t="s">
        <v>18</v>
      </c>
      <c r="H123" t="s">
        <v>95</v>
      </c>
      <c r="I123">
        <v>160</v>
      </c>
      <c r="J123" t="s">
        <v>20</v>
      </c>
      <c r="K123" t="s">
        <v>790</v>
      </c>
      <c r="P123" t="s">
        <v>210</v>
      </c>
      <c r="Q123" t="s">
        <v>185</v>
      </c>
      <c r="R123" t="s">
        <v>196</v>
      </c>
      <c r="S123" t="s">
        <v>197</v>
      </c>
      <c r="W123" t="s">
        <v>214</v>
      </c>
      <c r="X123">
        <v>2018</v>
      </c>
      <c r="Y123" t="s">
        <v>225</v>
      </c>
      <c r="AA123" t="s">
        <v>797</v>
      </c>
      <c r="AB123">
        <v>8</v>
      </c>
      <c r="AC123">
        <v>8</v>
      </c>
      <c r="AD123">
        <v>3</v>
      </c>
    </row>
    <row r="124" spans="3:30" x14ac:dyDescent="0.2">
      <c r="C124" t="s">
        <v>224</v>
      </c>
      <c r="D124">
        <v>30</v>
      </c>
      <c r="E124" t="s">
        <v>176</v>
      </c>
      <c r="F124">
        <v>900</v>
      </c>
      <c r="G124" t="s">
        <v>18</v>
      </c>
      <c r="H124" t="s">
        <v>95</v>
      </c>
      <c r="I124">
        <v>160</v>
      </c>
      <c r="J124" t="s">
        <v>20</v>
      </c>
      <c r="K124" t="s">
        <v>790</v>
      </c>
      <c r="P124" t="s">
        <v>210</v>
      </c>
      <c r="Q124" t="s">
        <v>185</v>
      </c>
      <c r="R124" t="s">
        <v>196</v>
      </c>
      <c r="S124" t="s">
        <v>197</v>
      </c>
      <c r="W124" t="s">
        <v>214</v>
      </c>
      <c r="X124">
        <v>2018</v>
      </c>
      <c r="Y124" t="s">
        <v>226</v>
      </c>
      <c r="AA124" t="s">
        <v>797</v>
      </c>
      <c r="AB124">
        <v>8</v>
      </c>
      <c r="AC124">
        <v>8</v>
      </c>
      <c r="AD124">
        <v>3</v>
      </c>
    </row>
    <row r="125" spans="3:30" x14ac:dyDescent="0.2">
      <c r="C125" t="s">
        <v>224</v>
      </c>
      <c r="D125">
        <v>30</v>
      </c>
      <c r="E125" t="s">
        <v>176</v>
      </c>
      <c r="F125">
        <v>1100</v>
      </c>
      <c r="G125" t="s">
        <v>18</v>
      </c>
      <c r="H125" t="s">
        <v>95</v>
      </c>
      <c r="I125">
        <v>160</v>
      </c>
      <c r="J125" t="s">
        <v>20</v>
      </c>
      <c r="K125" t="s">
        <v>790</v>
      </c>
      <c r="P125" t="s">
        <v>210</v>
      </c>
      <c r="Q125" t="s">
        <v>185</v>
      </c>
      <c r="R125" t="s">
        <v>196</v>
      </c>
      <c r="S125" t="s">
        <v>197</v>
      </c>
      <c r="W125" t="s">
        <v>214</v>
      </c>
      <c r="X125">
        <v>2018</v>
      </c>
      <c r="Y125" t="s">
        <v>227</v>
      </c>
      <c r="AA125" t="s">
        <v>797</v>
      </c>
      <c r="AB125">
        <v>8</v>
      </c>
      <c r="AC125">
        <v>8</v>
      </c>
      <c r="AD125">
        <v>3</v>
      </c>
    </row>
    <row r="126" spans="3:30" x14ac:dyDescent="0.2">
      <c r="C126" t="s">
        <v>224</v>
      </c>
      <c r="D126">
        <v>30</v>
      </c>
      <c r="E126" t="s">
        <v>176</v>
      </c>
      <c r="F126">
        <v>1300</v>
      </c>
      <c r="G126" t="s">
        <v>18</v>
      </c>
      <c r="H126" t="s">
        <v>95</v>
      </c>
      <c r="I126">
        <v>160</v>
      </c>
      <c r="J126" t="s">
        <v>20</v>
      </c>
      <c r="K126" t="s">
        <v>790</v>
      </c>
      <c r="O126">
        <v>55</v>
      </c>
      <c r="P126" t="s">
        <v>210</v>
      </c>
      <c r="Q126" t="s">
        <v>185</v>
      </c>
      <c r="R126" t="s">
        <v>196</v>
      </c>
      <c r="S126" t="s">
        <v>197</v>
      </c>
      <c r="W126" t="s">
        <v>214</v>
      </c>
      <c r="X126">
        <v>2018</v>
      </c>
      <c r="Y126" t="s">
        <v>228</v>
      </c>
      <c r="AA126" t="s">
        <v>797</v>
      </c>
      <c r="AB126">
        <v>8</v>
      </c>
      <c r="AC126">
        <v>8</v>
      </c>
      <c r="AD126">
        <v>3</v>
      </c>
    </row>
    <row r="127" spans="3:30" x14ac:dyDescent="0.2">
      <c r="C127" t="s">
        <v>229</v>
      </c>
      <c r="D127">
        <v>30</v>
      </c>
      <c r="E127" t="s">
        <v>176</v>
      </c>
      <c r="F127">
        <v>700</v>
      </c>
      <c r="G127" t="s">
        <v>18</v>
      </c>
      <c r="H127" t="s">
        <v>95</v>
      </c>
      <c r="I127">
        <v>160</v>
      </c>
      <c r="J127" t="s">
        <v>20</v>
      </c>
      <c r="K127" t="s">
        <v>790</v>
      </c>
      <c r="P127" t="s">
        <v>210</v>
      </c>
      <c r="Q127" t="s">
        <v>185</v>
      </c>
      <c r="R127" t="s">
        <v>196</v>
      </c>
      <c r="S127" t="s">
        <v>197</v>
      </c>
      <c r="W127" t="s">
        <v>214</v>
      </c>
      <c r="X127">
        <v>2018</v>
      </c>
      <c r="Y127" t="s">
        <v>230</v>
      </c>
      <c r="AA127" t="s">
        <v>797</v>
      </c>
      <c r="AB127">
        <v>8</v>
      </c>
      <c r="AC127">
        <v>8</v>
      </c>
      <c r="AD127">
        <v>3</v>
      </c>
    </row>
    <row r="128" spans="3:30" x14ac:dyDescent="0.2">
      <c r="C128" t="s">
        <v>229</v>
      </c>
      <c r="D128">
        <v>30</v>
      </c>
      <c r="E128" t="s">
        <v>176</v>
      </c>
      <c r="F128">
        <v>900</v>
      </c>
      <c r="G128" t="s">
        <v>18</v>
      </c>
      <c r="H128" t="s">
        <v>95</v>
      </c>
      <c r="I128">
        <v>160</v>
      </c>
      <c r="J128" t="s">
        <v>20</v>
      </c>
      <c r="K128" t="s">
        <v>790</v>
      </c>
      <c r="P128" t="s">
        <v>210</v>
      </c>
      <c r="Q128" t="s">
        <v>185</v>
      </c>
      <c r="R128" t="s">
        <v>196</v>
      </c>
      <c r="S128" t="s">
        <v>197</v>
      </c>
      <c r="W128" t="s">
        <v>214</v>
      </c>
      <c r="X128">
        <v>2018</v>
      </c>
      <c r="Y128" t="s">
        <v>231</v>
      </c>
      <c r="AA128" t="s">
        <v>797</v>
      </c>
      <c r="AB128">
        <v>8</v>
      </c>
      <c r="AC128">
        <v>8</v>
      </c>
      <c r="AD128">
        <v>3</v>
      </c>
    </row>
    <row r="129" spans="3:30" x14ac:dyDescent="0.2">
      <c r="C129" t="s">
        <v>229</v>
      </c>
      <c r="D129">
        <v>30</v>
      </c>
      <c r="E129" t="s">
        <v>176</v>
      </c>
      <c r="F129">
        <v>1100</v>
      </c>
      <c r="G129" t="s">
        <v>18</v>
      </c>
      <c r="H129" t="s">
        <v>95</v>
      </c>
      <c r="I129">
        <v>160</v>
      </c>
      <c r="J129" t="s">
        <v>20</v>
      </c>
      <c r="K129" t="s">
        <v>790</v>
      </c>
      <c r="P129" t="s">
        <v>210</v>
      </c>
      <c r="Q129" t="s">
        <v>185</v>
      </c>
      <c r="R129" t="s">
        <v>196</v>
      </c>
      <c r="S129" t="s">
        <v>197</v>
      </c>
      <c r="W129" t="s">
        <v>214</v>
      </c>
      <c r="X129">
        <v>2018</v>
      </c>
      <c r="Y129" t="s">
        <v>232</v>
      </c>
      <c r="AA129" t="s">
        <v>797</v>
      </c>
      <c r="AB129">
        <v>8</v>
      </c>
      <c r="AC129">
        <v>8</v>
      </c>
      <c r="AD129">
        <v>3</v>
      </c>
    </row>
    <row r="130" spans="3:30" x14ac:dyDescent="0.2">
      <c r="C130" t="s">
        <v>229</v>
      </c>
      <c r="D130">
        <v>30</v>
      </c>
      <c r="E130" t="s">
        <v>176</v>
      </c>
      <c r="F130">
        <v>1300</v>
      </c>
      <c r="G130" t="s">
        <v>18</v>
      </c>
      <c r="H130" t="s">
        <v>95</v>
      </c>
      <c r="I130">
        <v>160</v>
      </c>
      <c r="J130" t="s">
        <v>20</v>
      </c>
      <c r="K130" t="s">
        <v>790</v>
      </c>
      <c r="O130">
        <v>50</v>
      </c>
      <c r="P130" t="s">
        <v>210</v>
      </c>
      <c r="Q130" t="s">
        <v>185</v>
      </c>
      <c r="R130" t="s">
        <v>196</v>
      </c>
      <c r="S130" t="s">
        <v>197</v>
      </c>
      <c r="W130" t="s">
        <v>214</v>
      </c>
      <c r="X130">
        <v>2018</v>
      </c>
      <c r="Y130" t="s">
        <v>233</v>
      </c>
      <c r="AA130" t="s">
        <v>797</v>
      </c>
      <c r="AB130">
        <v>8</v>
      </c>
      <c r="AC130">
        <v>8</v>
      </c>
      <c r="AD130">
        <v>3</v>
      </c>
    </row>
    <row r="131" spans="3:30" x14ac:dyDescent="0.2">
      <c r="C131" t="s">
        <v>234</v>
      </c>
      <c r="D131">
        <v>30</v>
      </c>
      <c r="E131" t="s">
        <v>176</v>
      </c>
      <c r="F131">
        <v>700</v>
      </c>
      <c r="G131" t="s">
        <v>18</v>
      </c>
      <c r="H131" t="s">
        <v>95</v>
      </c>
      <c r="I131">
        <v>160</v>
      </c>
      <c r="J131" t="s">
        <v>20</v>
      </c>
      <c r="K131" t="s">
        <v>790</v>
      </c>
      <c r="O131">
        <v>50</v>
      </c>
      <c r="P131" t="s">
        <v>210</v>
      </c>
      <c r="Q131" t="s">
        <v>185</v>
      </c>
      <c r="R131" t="s">
        <v>196</v>
      </c>
      <c r="S131" t="s">
        <v>197</v>
      </c>
      <c r="W131" t="s">
        <v>214</v>
      </c>
      <c r="X131">
        <v>2018</v>
      </c>
      <c r="Y131" t="s">
        <v>235</v>
      </c>
      <c r="AA131" t="s">
        <v>797</v>
      </c>
      <c r="AB131">
        <v>8</v>
      </c>
      <c r="AC131">
        <v>8</v>
      </c>
      <c r="AD131">
        <v>3</v>
      </c>
    </row>
    <row r="132" spans="3:30" x14ac:dyDescent="0.2">
      <c r="C132" t="s">
        <v>234</v>
      </c>
      <c r="D132">
        <v>30</v>
      </c>
      <c r="E132" t="s">
        <v>176</v>
      </c>
      <c r="F132">
        <v>900</v>
      </c>
      <c r="G132" t="s">
        <v>18</v>
      </c>
      <c r="H132" t="s">
        <v>95</v>
      </c>
      <c r="I132">
        <v>160</v>
      </c>
      <c r="J132" t="s">
        <v>20</v>
      </c>
      <c r="K132" t="s">
        <v>790</v>
      </c>
      <c r="P132" t="s">
        <v>210</v>
      </c>
      <c r="Q132" t="s">
        <v>185</v>
      </c>
      <c r="R132" t="s">
        <v>196</v>
      </c>
      <c r="S132" t="s">
        <v>197</v>
      </c>
      <c r="W132" t="s">
        <v>214</v>
      </c>
      <c r="X132">
        <v>2018</v>
      </c>
      <c r="Y132" t="s">
        <v>236</v>
      </c>
      <c r="AA132" t="s">
        <v>797</v>
      </c>
      <c r="AB132">
        <v>8</v>
      </c>
      <c r="AC132">
        <v>8</v>
      </c>
      <c r="AD132">
        <v>3</v>
      </c>
    </row>
    <row r="133" spans="3:30" x14ac:dyDescent="0.2">
      <c r="C133" t="s">
        <v>234</v>
      </c>
      <c r="D133">
        <v>30</v>
      </c>
      <c r="E133" t="s">
        <v>176</v>
      </c>
      <c r="F133">
        <v>1100</v>
      </c>
      <c r="G133" t="s">
        <v>18</v>
      </c>
      <c r="H133" t="s">
        <v>95</v>
      </c>
      <c r="I133">
        <v>160</v>
      </c>
      <c r="J133" t="s">
        <v>20</v>
      </c>
      <c r="K133" t="s">
        <v>790</v>
      </c>
      <c r="P133" t="s">
        <v>210</v>
      </c>
      <c r="Q133" t="s">
        <v>185</v>
      </c>
      <c r="R133" t="s">
        <v>196</v>
      </c>
      <c r="S133" t="s">
        <v>197</v>
      </c>
      <c r="W133" t="s">
        <v>214</v>
      </c>
      <c r="X133">
        <v>2018</v>
      </c>
      <c r="Y133" t="s">
        <v>237</v>
      </c>
      <c r="AA133" t="s">
        <v>797</v>
      </c>
      <c r="AB133">
        <v>8</v>
      </c>
      <c r="AC133">
        <v>8</v>
      </c>
      <c r="AD133">
        <v>3</v>
      </c>
    </row>
    <row r="134" spans="3:30" x14ac:dyDescent="0.2">
      <c r="C134" t="s">
        <v>234</v>
      </c>
      <c r="D134">
        <v>30</v>
      </c>
      <c r="E134" t="s">
        <v>176</v>
      </c>
      <c r="F134">
        <v>1300</v>
      </c>
      <c r="G134" t="s">
        <v>18</v>
      </c>
      <c r="H134" t="s">
        <v>95</v>
      </c>
      <c r="I134">
        <v>160</v>
      </c>
      <c r="J134" t="s">
        <v>20</v>
      </c>
      <c r="K134" t="s">
        <v>790</v>
      </c>
      <c r="O134">
        <v>35</v>
      </c>
      <c r="P134" t="s">
        <v>210</v>
      </c>
      <c r="Q134" t="s">
        <v>185</v>
      </c>
      <c r="R134" t="s">
        <v>196</v>
      </c>
      <c r="S134" t="s">
        <v>197</v>
      </c>
      <c r="W134" t="s">
        <v>214</v>
      </c>
      <c r="X134">
        <v>2018</v>
      </c>
      <c r="Y134" t="s">
        <v>238</v>
      </c>
      <c r="AA134" t="s">
        <v>797</v>
      </c>
      <c r="AB134">
        <v>8</v>
      </c>
      <c r="AC134">
        <v>8</v>
      </c>
      <c r="AD134">
        <v>3</v>
      </c>
    </row>
    <row r="135" spans="3:30" x14ac:dyDescent="0.2">
      <c r="C135" t="s">
        <v>239</v>
      </c>
      <c r="D135">
        <v>31</v>
      </c>
      <c r="E135" t="s">
        <v>176</v>
      </c>
      <c r="F135">
        <v>1000</v>
      </c>
      <c r="G135" t="s">
        <v>18</v>
      </c>
      <c r="H135" t="s">
        <v>95</v>
      </c>
      <c r="I135">
        <v>160</v>
      </c>
      <c r="J135" t="s">
        <v>20</v>
      </c>
      <c r="K135" t="s">
        <v>790</v>
      </c>
      <c r="P135" t="s">
        <v>240</v>
      </c>
      <c r="Q135" t="s">
        <v>195</v>
      </c>
      <c r="R135" t="s">
        <v>21</v>
      </c>
      <c r="S135" t="s">
        <v>186</v>
      </c>
      <c r="W135" t="s">
        <v>241</v>
      </c>
      <c r="X135">
        <v>2017</v>
      </c>
      <c r="Y135" t="s">
        <v>242</v>
      </c>
      <c r="AA135" t="s">
        <v>796</v>
      </c>
      <c r="AB135">
        <v>6</v>
      </c>
      <c r="AC135">
        <v>6</v>
      </c>
      <c r="AD135">
        <v>2</v>
      </c>
    </row>
    <row r="136" spans="3:30" x14ac:dyDescent="0.2">
      <c r="C136" t="s">
        <v>239</v>
      </c>
      <c r="D136">
        <v>31</v>
      </c>
      <c r="E136" t="s">
        <v>176</v>
      </c>
      <c r="F136">
        <v>1100</v>
      </c>
      <c r="G136" t="s">
        <v>18</v>
      </c>
      <c r="H136" t="s">
        <v>95</v>
      </c>
      <c r="I136">
        <v>160</v>
      </c>
      <c r="J136" t="s">
        <v>20</v>
      </c>
      <c r="K136" t="s">
        <v>790</v>
      </c>
      <c r="P136" t="s">
        <v>240</v>
      </c>
      <c r="Q136" t="s">
        <v>195</v>
      </c>
      <c r="R136" t="s">
        <v>21</v>
      </c>
      <c r="S136" t="s">
        <v>186</v>
      </c>
      <c r="W136" t="s">
        <v>241</v>
      </c>
      <c r="X136">
        <v>2017</v>
      </c>
      <c r="Y136" t="s">
        <v>243</v>
      </c>
      <c r="AA136" t="s">
        <v>796</v>
      </c>
      <c r="AB136">
        <v>6</v>
      </c>
      <c r="AC136">
        <v>6</v>
      </c>
      <c r="AD136">
        <v>2</v>
      </c>
    </row>
    <row r="137" spans="3:30" x14ac:dyDescent="0.2">
      <c r="C137" t="s">
        <v>244</v>
      </c>
      <c r="D137">
        <v>31</v>
      </c>
      <c r="E137" t="s">
        <v>176</v>
      </c>
      <c r="F137">
        <v>1000</v>
      </c>
      <c r="G137" t="s">
        <v>18</v>
      </c>
      <c r="H137" t="s">
        <v>95</v>
      </c>
      <c r="I137">
        <v>160</v>
      </c>
      <c r="J137" t="s">
        <v>20</v>
      </c>
      <c r="K137" t="s">
        <v>790</v>
      </c>
      <c r="P137" t="s">
        <v>245</v>
      </c>
      <c r="Q137" t="s">
        <v>185</v>
      </c>
      <c r="R137" t="s">
        <v>21</v>
      </c>
      <c r="S137" t="s">
        <v>186</v>
      </c>
      <c r="W137" t="s">
        <v>241</v>
      </c>
      <c r="X137">
        <v>2017</v>
      </c>
      <c r="Y137" t="s">
        <v>246</v>
      </c>
      <c r="AA137" t="s">
        <v>796</v>
      </c>
      <c r="AB137">
        <v>6</v>
      </c>
      <c r="AC137">
        <v>6</v>
      </c>
      <c r="AD137">
        <v>2</v>
      </c>
    </row>
    <row r="138" spans="3:30" x14ac:dyDescent="0.2">
      <c r="C138" t="s">
        <v>244</v>
      </c>
      <c r="D138">
        <v>31</v>
      </c>
      <c r="E138" t="s">
        <v>176</v>
      </c>
      <c r="F138">
        <v>1100</v>
      </c>
      <c r="G138" t="s">
        <v>18</v>
      </c>
      <c r="H138" t="s">
        <v>95</v>
      </c>
      <c r="I138">
        <v>160</v>
      </c>
      <c r="J138" t="s">
        <v>20</v>
      </c>
      <c r="K138" t="s">
        <v>790</v>
      </c>
      <c r="Q138" t="s">
        <v>185</v>
      </c>
      <c r="R138" t="s">
        <v>21</v>
      </c>
      <c r="S138" t="s">
        <v>186</v>
      </c>
      <c r="W138" t="s">
        <v>241</v>
      </c>
      <c r="X138">
        <v>2017</v>
      </c>
      <c r="Y138" t="s">
        <v>247</v>
      </c>
      <c r="AA138" t="s">
        <v>796</v>
      </c>
      <c r="AB138">
        <v>6</v>
      </c>
      <c r="AC138">
        <v>6</v>
      </c>
      <c r="AD138">
        <v>2</v>
      </c>
    </row>
    <row r="139" spans="3:30" x14ac:dyDescent="0.2">
      <c r="C139" t="s">
        <v>248</v>
      </c>
      <c r="D139">
        <v>31</v>
      </c>
      <c r="E139" t="s">
        <v>176</v>
      </c>
      <c r="F139">
        <v>1000</v>
      </c>
      <c r="G139" t="s">
        <v>18</v>
      </c>
      <c r="H139" t="s">
        <v>95</v>
      </c>
      <c r="I139">
        <v>160</v>
      </c>
      <c r="J139" t="s">
        <v>20</v>
      </c>
      <c r="K139" t="s">
        <v>790</v>
      </c>
      <c r="P139" t="s">
        <v>249</v>
      </c>
      <c r="Q139" t="s">
        <v>185</v>
      </c>
      <c r="R139" t="s">
        <v>21</v>
      </c>
      <c r="S139" t="s">
        <v>197</v>
      </c>
      <c r="W139" t="s">
        <v>241</v>
      </c>
      <c r="X139">
        <v>2017</v>
      </c>
      <c r="Y139" t="s">
        <v>250</v>
      </c>
      <c r="AA139" t="s">
        <v>796</v>
      </c>
      <c r="AB139">
        <v>6</v>
      </c>
      <c r="AC139">
        <v>6</v>
      </c>
      <c r="AD139">
        <v>2</v>
      </c>
    </row>
    <row r="140" spans="3:30" x14ac:dyDescent="0.2">
      <c r="C140" t="s">
        <v>251</v>
      </c>
      <c r="D140">
        <v>32</v>
      </c>
      <c r="E140" t="s">
        <v>176</v>
      </c>
      <c r="F140">
        <v>900</v>
      </c>
      <c r="G140" t="s">
        <v>18</v>
      </c>
      <c r="H140" t="s">
        <v>95</v>
      </c>
      <c r="I140">
        <v>160</v>
      </c>
      <c r="J140" t="s">
        <v>20</v>
      </c>
      <c r="K140" t="s">
        <v>790</v>
      </c>
      <c r="P140" t="s">
        <v>252</v>
      </c>
      <c r="Q140" t="s">
        <v>195</v>
      </c>
      <c r="R140" t="s">
        <v>21</v>
      </c>
      <c r="S140" t="s">
        <v>186</v>
      </c>
      <c r="W140" t="s">
        <v>253</v>
      </c>
      <c r="X140">
        <v>2016</v>
      </c>
      <c r="Y140" t="s">
        <v>254</v>
      </c>
      <c r="AA140" t="s">
        <v>796</v>
      </c>
      <c r="AB140">
        <v>10</v>
      </c>
      <c r="AC140">
        <v>10</v>
      </c>
      <c r="AD140">
        <v>2</v>
      </c>
    </row>
    <row r="141" spans="3:30" x14ac:dyDescent="0.2">
      <c r="C141" t="s">
        <v>251</v>
      </c>
      <c r="D141">
        <v>32</v>
      </c>
      <c r="E141" t="s">
        <v>176</v>
      </c>
      <c r="F141">
        <v>1000</v>
      </c>
      <c r="G141" t="s">
        <v>18</v>
      </c>
      <c r="H141" t="s">
        <v>95</v>
      </c>
      <c r="I141">
        <v>160</v>
      </c>
      <c r="J141" t="s">
        <v>20</v>
      </c>
      <c r="K141" t="s">
        <v>790</v>
      </c>
      <c r="P141" t="s">
        <v>255</v>
      </c>
      <c r="Q141" t="s">
        <v>195</v>
      </c>
      <c r="R141" t="s">
        <v>21</v>
      </c>
      <c r="S141" t="s">
        <v>186</v>
      </c>
      <c r="W141" t="s">
        <v>253</v>
      </c>
      <c r="X141">
        <v>2016</v>
      </c>
      <c r="Y141" t="s">
        <v>256</v>
      </c>
      <c r="AA141" t="s">
        <v>796</v>
      </c>
      <c r="AB141">
        <v>10</v>
      </c>
      <c r="AC141">
        <v>10</v>
      </c>
      <c r="AD141">
        <v>2</v>
      </c>
    </row>
    <row r="142" spans="3:30" x14ac:dyDescent="0.2">
      <c r="C142" t="s">
        <v>251</v>
      </c>
      <c r="D142">
        <v>32</v>
      </c>
      <c r="E142" t="s">
        <v>176</v>
      </c>
      <c r="F142">
        <v>1100</v>
      </c>
      <c r="G142" t="s">
        <v>18</v>
      </c>
      <c r="H142" t="s">
        <v>95</v>
      </c>
      <c r="I142">
        <v>160</v>
      </c>
      <c r="J142" t="s">
        <v>20</v>
      </c>
      <c r="K142" t="s">
        <v>790</v>
      </c>
      <c r="P142" t="s">
        <v>252</v>
      </c>
      <c r="Q142" t="s">
        <v>195</v>
      </c>
      <c r="R142" t="s">
        <v>21</v>
      </c>
      <c r="S142" t="s">
        <v>186</v>
      </c>
      <c r="W142" t="s">
        <v>253</v>
      </c>
      <c r="X142">
        <v>2016</v>
      </c>
      <c r="Y142" t="s">
        <v>257</v>
      </c>
      <c r="AA142" t="s">
        <v>796</v>
      </c>
      <c r="AB142">
        <v>10</v>
      </c>
      <c r="AC142">
        <v>10</v>
      </c>
      <c r="AD142">
        <v>2</v>
      </c>
    </row>
    <row r="143" spans="3:30" x14ac:dyDescent="0.2">
      <c r="C143" t="s">
        <v>239</v>
      </c>
      <c r="D143">
        <v>32</v>
      </c>
      <c r="E143" t="s">
        <v>176</v>
      </c>
      <c r="F143">
        <v>900</v>
      </c>
      <c r="G143" t="s">
        <v>18</v>
      </c>
      <c r="H143" t="s">
        <v>95</v>
      </c>
      <c r="I143">
        <v>160</v>
      </c>
      <c r="J143" t="s">
        <v>20</v>
      </c>
      <c r="K143" t="s">
        <v>790</v>
      </c>
      <c r="P143" t="s">
        <v>258</v>
      </c>
      <c r="Q143" t="s">
        <v>195</v>
      </c>
      <c r="R143" t="s">
        <v>21</v>
      </c>
      <c r="S143" t="s">
        <v>186</v>
      </c>
      <c r="W143" t="s">
        <v>253</v>
      </c>
      <c r="X143">
        <v>2016</v>
      </c>
      <c r="Y143" t="s">
        <v>259</v>
      </c>
      <c r="AA143" t="s">
        <v>796</v>
      </c>
      <c r="AB143">
        <v>10</v>
      </c>
      <c r="AC143">
        <v>10</v>
      </c>
      <c r="AD143">
        <v>2</v>
      </c>
    </row>
    <row r="144" spans="3:30" x14ac:dyDescent="0.2">
      <c r="C144" t="s">
        <v>239</v>
      </c>
      <c r="D144">
        <v>32</v>
      </c>
      <c r="E144" t="s">
        <v>176</v>
      </c>
      <c r="F144">
        <v>1000</v>
      </c>
      <c r="G144" t="s">
        <v>18</v>
      </c>
      <c r="H144" t="s">
        <v>95</v>
      </c>
      <c r="I144">
        <v>160</v>
      </c>
      <c r="J144" t="s">
        <v>20</v>
      </c>
      <c r="K144" t="s">
        <v>790</v>
      </c>
      <c r="P144" t="s">
        <v>260</v>
      </c>
      <c r="Q144" t="s">
        <v>195</v>
      </c>
      <c r="R144" t="s">
        <v>21</v>
      </c>
      <c r="S144" t="s">
        <v>186</v>
      </c>
      <c r="W144" t="s">
        <v>253</v>
      </c>
      <c r="X144">
        <v>2016</v>
      </c>
      <c r="Y144" t="s">
        <v>261</v>
      </c>
      <c r="AA144" t="s">
        <v>796</v>
      </c>
      <c r="AB144">
        <v>10</v>
      </c>
      <c r="AC144">
        <v>10</v>
      </c>
      <c r="AD144">
        <v>2</v>
      </c>
    </row>
    <row r="145" spans="3:30" x14ac:dyDescent="0.2">
      <c r="C145" t="s">
        <v>239</v>
      </c>
      <c r="D145">
        <v>32</v>
      </c>
      <c r="E145" t="s">
        <v>176</v>
      </c>
      <c r="F145">
        <v>1100</v>
      </c>
      <c r="G145" t="s">
        <v>18</v>
      </c>
      <c r="H145" t="s">
        <v>95</v>
      </c>
      <c r="I145">
        <v>160</v>
      </c>
      <c r="J145" t="s">
        <v>20</v>
      </c>
      <c r="K145" t="s">
        <v>790</v>
      </c>
      <c r="P145" t="s">
        <v>262</v>
      </c>
      <c r="Q145" t="s">
        <v>195</v>
      </c>
      <c r="R145" t="s">
        <v>21</v>
      </c>
      <c r="S145" t="s">
        <v>186</v>
      </c>
      <c r="W145" t="s">
        <v>253</v>
      </c>
      <c r="X145">
        <v>2016</v>
      </c>
      <c r="Y145" t="s">
        <v>263</v>
      </c>
      <c r="AA145" t="s">
        <v>796</v>
      </c>
      <c r="AB145">
        <v>10</v>
      </c>
      <c r="AC145">
        <v>10</v>
      </c>
      <c r="AD145">
        <v>2</v>
      </c>
    </row>
    <row r="146" spans="3:30" x14ac:dyDescent="0.2">
      <c r="C146" t="s">
        <v>248</v>
      </c>
      <c r="D146">
        <v>33</v>
      </c>
      <c r="E146" t="s">
        <v>176</v>
      </c>
      <c r="F146">
        <v>1000</v>
      </c>
      <c r="G146" t="s">
        <v>18</v>
      </c>
      <c r="H146" t="s">
        <v>95</v>
      </c>
      <c r="I146">
        <v>160</v>
      </c>
      <c r="J146" t="s">
        <v>20</v>
      </c>
      <c r="K146" t="s">
        <v>790</v>
      </c>
      <c r="N146">
        <v>20</v>
      </c>
      <c r="P146" t="s">
        <v>264</v>
      </c>
      <c r="Q146" t="s">
        <v>185</v>
      </c>
      <c r="R146" t="s">
        <v>21</v>
      </c>
      <c r="S146" t="s">
        <v>197</v>
      </c>
      <c r="W146" t="s">
        <v>265</v>
      </c>
      <c r="X146">
        <v>2015</v>
      </c>
      <c r="Y146" t="s">
        <v>266</v>
      </c>
      <c r="AA146" t="s">
        <v>796</v>
      </c>
      <c r="AB146">
        <v>10</v>
      </c>
      <c r="AC146">
        <v>10</v>
      </c>
      <c r="AD146">
        <v>10</v>
      </c>
    </row>
    <row r="147" spans="3:30" x14ac:dyDescent="0.2">
      <c r="C147" t="s">
        <v>267</v>
      </c>
      <c r="D147">
        <v>35</v>
      </c>
      <c r="E147" t="s">
        <v>176</v>
      </c>
      <c r="F147">
        <v>1000</v>
      </c>
      <c r="G147" t="s">
        <v>18</v>
      </c>
      <c r="H147" t="s">
        <v>95</v>
      </c>
      <c r="I147">
        <v>160</v>
      </c>
      <c r="J147" t="s">
        <v>20</v>
      </c>
      <c r="K147" t="s">
        <v>790</v>
      </c>
      <c r="N147">
        <v>220</v>
      </c>
      <c r="P147" t="s">
        <v>210</v>
      </c>
      <c r="Q147" t="s">
        <v>185</v>
      </c>
      <c r="R147" t="s">
        <v>21</v>
      </c>
      <c r="S147" t="s">
        <v>268</v>
      </c>
      <c r="W147" t="s">
        <v>269</v>
      </c>
      <c r="X147">
        <v>2018</v>
      </c>
      <c r="Y147" t="s">
        <v>270</v>
      </c>
      <c r="AA147" t="s">
        <v>797</v>
      </c>
      <c r="AB147">
        <v>6</v>
      </c>
      <c r="AC147">
        <v>6</v>
      </c>
      <c r="AD147">
        <v>3</v>
      </c>
    </row>
    <row r="148" spans="3:30" x14ac:dyDescent="0.2">
      <c r="C148" t="s">
        <v>271</v>
      </c>
      <c r="D148">
        <v>35</v>
      </c>
      <c r="E148" t="s">
        <v>176</v>
      </c>
      <c r="F148">
        <v>1000</v>
      </c>
      <c r="G148" t="s">
        <v>18</v>
      </c>
      <c r="H148" t="s">
        <v>95</v>
      </c>
      <c r="I148">
        <v>160</v>
      </c>
      <c r="J148" t="s">
        <v>20</v>
      </c>
      <c r="K148" t="s">
        <v>790</v>
      </c>
      <c r="N148">
        <v>1160</v>
      </c>
      <c r="P148" t="s">
        <v>272</v>
      </c>
      <c r="Q148" t="s">
        <v>195</v>
      </c>
      <c r="R148" t="s">
        <v>21</v>
      </c>
      <c r="S148" t="s">
        <v>268</v>
      </c>
      <c r="W148" t="s">
        <v>269</v>
      </c>
      <c r="X148">
        <v>2018</v>
      </c>
      <c r="Y148" t="s">
        <v>273</v>
      </c>
      <c r="AA148" t="s">
        <v>797</v>
      </c>
      <c r="AB148">
        <v>6</v>
      </c>
      <c r="AC148">
        <v>6</v>
      </c>
      <c r="AD148">
        <v>3</v>
      </c>
    </row>
    <row r="149" spans="3:30" x14ac:dyDescent="0.2">
      <c r="C149" t="s">
        <v>274</v>
      </c>
      <c r="D149">
        <v>36</v>
      </c>
      <c r="E149" t="s">
        <v>176</v>
      </c>
      <c r="F149">
        <v>1000</v>
      </c>
      <c r="G149" t="s">
        <v>18</v>
      </c>
      <c r="H149" t="s">
        <v>95</v>
      </c>
      <c r="I149">
        <v>160</v>
      </c>
      <c r="J149" t="s">
        <v>20</v>
      </c>
      <c r="K149" t="s">
        <v>790</v>
      </c>
      <c r="N149">
        <v>467</v>
      </c>
      <c r="P149" t="s">
        <v>275</v>
      </c>
      <c r="Q149" t="s">
        <v>195</v>
      </c>
      <c r="R149" t="s">
        <v>21</v>
      </c>
      <c r="S149" t="s">
        <v>186</v>
      </c>
      <c r="W149" t="s">
        <v>181</v>
      </c>
      <c r="X149">
        <v>2017</v>
      </c>
      <c r="Y149" t="s">
        <v>276</v>
      </c>
      <c r="AA149" t="s">
        <v>796</v>
      </c>
      <c r="AB149">
        <v>100</v>
      </c>
      <c r="AC149">
        <v>30</v>
      </c>
      <c r="AD149">
        <v>12</v>
      </c>
    </row>
    <row r="150" spans="3:30" x14ac:dyDescent="0.2">
      <c r="C150" t="s">
        <v>277</v>
      </c>
      <c r="D150">
        <v>36</v>
      </c>
      <c r="E150" t="s">
        <v>176</v>
      </c>
      <c r="F150">
        <v>1000</v>
      </c>
      <c r="G150" t="s">
        <v>18</v>
      </c>
      <c r="H150" t="s">
        <v>95</v>
      </c>
      <c r="I150">
        <v>160</v>
      </c>
      <c r="J150" t="s">
        <v>20</v>
      </c>
      <c r="K150" t="s">
        <v>790</v>
      </c>
      <c r="L150">
        <v>8</v>
      </c>
      <c r="N150">
        <v>3235</v>
      </c>
      <c r="O150">
        <v>19</v>
      </c>
      <c r="P150" t="s">
        <v>278</v>
      </c>
      <c r="Q150" t="s">
        <v>185</v>
      </c>
      <c r="R150" t="s">
        <v>21</v>
      </c>
      <c r="S150" t="s">
        <v>186</v>
      </c>
      <c r="W150" t="s">
        <v>181</v>
      </c>
      <c r="X150">
        <v>2017</v>
      </c>
      <c r="Y150" t="s">
        <v>279</v>
      </c>
      <c r="AA150" t="s">
        <v>796</v>
      </c>
      <c r="AB150">
        <v>100</v>
      </c>
      <c r="AC150">
        <v>30</v>
      </c>
      <c r="AD150">
        <v>12</v>
      </c>
    </row>
    <row r="151" spans="3:30" x14ac:dyDescent="0.2">
      <c r="C151" t="s">
        <v>280</v>
      </c>
      <c r="D151">
        <v>40</v>
      </c>
      <c r="E151" t="s">
        <v>17</v>
      </c>
      <c r="F151">
        <v>1000</v>
      </c>
      <c r="G151" t="s">
        <v>18</v>
      </c>
      <c r="H151" t="s">
        <v>95</v>
      </c>
      <c r="I151">
        <v>1</v>
      </c>
      <c r="J151" t="s">
        <v>55</v>
      </c>
      <c r="K151" t="s">
        <v>790</v>
      </c>
      <c r="R151" t="s">
        <v>21</v>
      </c>
      <c r="S151" t="s">
        <v>281</v>
      </c>
      <c r="W151" t="s">
        <v>282</v>
      </c>
      <c r="X151">
        <v>1976</v>
      </c>
      <c r="Y151" t="s">
        <v>283</v>
      </c>
      <c r="AA151" t="s">
        <v>796</v>
      </c>
      <c r="AB151">
        <v>8</v>
      </c>
      <c r="AC151">
        <v>8</v>
      </c>
      <c r="AD151">
        <v>1</v>
      </c>
    </row>
    <row r="152" spans="3:30" x14ac:dyDescent="0.2">
      <c r="C152" t="s">
        <v>284</v>
      </c>
      <c r="D152">
        <v>40</v>
      </c>
      <c r="E152" t="s">
        <v>17</v>
      </c>
      <c r="F152">
        <v>1000</v>
      </c>
      <c r="G152" t="s">
        <v>18</v>
      </c>
      <c r="H152" t="s">
        <v>95</v>
      </c>
      <c r="I152">
        <v>1</v>
      </c>
      <c r="J152" t="s">
        <v>55</v>
      </c>
      <c r="K152" t="s">
        <v>790</v>
      </c>
      <c r="R152" t="s">
        <v>21</v>
      </c>
      <c r="S152" t="s">
        <v>281</v>
      </c>
      <c r="W152" t="s">
        <v>282</v>
      </c>
      <c r="X152">
        <v>1976</v>
      </c>
      <c r="Y152" t="s">
        <v>285</v>
      </c>
      <c r="AA152" t="s">
        <v>796</v>
      </c>
      <c r="AB152">
        <v>8</v>
      </c>
      <c r="AC152">
        <v>8</v>
      </c>
      <c r="AD152">
        <v>1</v>
      </c>
    </row>
    <row r="153" spans="3:30" x14ac:dyDescent="0.2">
      <c r="C153" t="s">
        <v>286</v>
      </c>
      <c r="D153">
        <v>40</v>
      </c>
      <c r="E153" t="s">
        <v>17</v>
      </c>
      <c r="F153">
        <v>1000</v>
      </c>
      <c r="G153" t="s">
        <v>18</v>
      </c>
      <c r="H153" t="s">
        <v>95</v>
      </c>
      <c r="I153">
        <v>1</v>
      </c>
      <c r="J153" t="s">
        <v>55</v>
      </c>
      <c r="K153" t="s">
        <v>790</v>
      </c>
      <c r="R153" t="s">
        <v>21</v>
      </c>
      <c r="S153" t="s">
        <v>281</v>
      </c>
      <c r="W153" t="s">
        <v>282</v>
      </c>
      <c r="X153">
        <v>1976</v>
      </c>
      <c r="Y153" t="s">
        <v>287</v>
      </c>
      <c r="AA153" t="s">
        <v>796</v>
      </c>
      <c r="AB153">
        <v>8</v>
      </c>
      <c r="AC153">
        <v>8</v>
      </c>
      <c r="AD153">
        <v>1</v>
      </c>
    </row>
    <row r="154" spans="3:30" x14ac:dyDescent="0.2">
      <c r="C154" t="s">
        <v>288</v>
      </c>
      <c r="D154">
        <v>40</v>
      </c>
      <c r="E154" t="s">
        <v>17</v>
      </c>
      <c r="F154">
        <v>900</v>
      </c>
      <c r="G154" t="s">
        <v>18</v>
      </c>
      <c r="H154" t="s">
        <v>95</v>
      </c>
      <c r="I154">
        <v>1</v>
      </c>
      <c r="J154" t="s">
        <v>55</v>
      </c>
      <c r="K154" t="s">
        <v>790</v>
      </c>
      <c r="R154" t="s">
        <v>21</v>
      </c>
      <c r="S154" t="s">
        <v>281</v>
      </c>
      <c r="W154" t="s">
        <v>282</v>
      </c>
      <c r="X154">
        <v>1976</v>
      </c>
      <c r="Y154" t="s">
        <v>289</v>
      </c>
      <c r="AA154" t="s">
        <v>796</v>
      </c>
      <c r="AB154">
        <v>8</v>
      </c>
      <c r="AC154">
        <v>8</v>
      </c>
      <c r="AD154">
        <v>1</v>
      </c>
    </row>
    <row r="155" spans="3:30" x14ac:dyDescent="0.2">
      <c r="C155" t="s">
        <v>290</v>
      </c>
      <c r="D155">
        <v>40</v>
      </c>
      <c r="E155" t="s">
        <v>17</v>
      </c>
      <c r="F155">
        <v>1000</v>
      </c>
      <c r="G155" t="s">
        <v>18</v>
      </c>
      <c r="H155" t="s">
        <v>95</v>
      </c>
      <c r="I155">
        <v>1</v>
      </c>
      <c r="J155" t="s">
        <v>55</v>
      </c>
      <c r="K155" t="s">
        <v>790</v>
      </c>
      <c r="R155" t="s">
        <v>21</v>
      </c>
      <c r="S155" t="s">
        <v>281</v>
      </c>
      <c r="W155" t="s">
        <v>282</v>
      </c>
      <c r="X155">
        <v>1976</v>
      </c>
      <c r="Y155" t="s">
        <v>291</v>
      </c>
      <c r="AA155" t="s">
        <v>796</v>
      </c>
      <c r="AB155">
        <v>8</v>
      </c>
      <c r="AC155">
        <v>8</v>
      </c>
      <c r="AD155">
        <v>1</v>
      </c>
    </row>
    <row r="156" spans="3:30" x14ac:dyDescent="0.2">
      <c r="C156" t="s">
        <v>292</v>
      </c>
      <c r="D156">
        <v>40</v>
      </c>
      <c r="E156" t="s">
        <v>17</v>
      </c>
      <c r="F156">
        <v>900</v>
      </c>
      <c r="G156" t="s">
        <v>18</v>
      </c>
      <c r="H156" t="s">
        <v>95</v>
      </c>
      <c r="I156">
        <v>1</v>
      </c>
      <c r="J156" t="s">
        <v>55</v>
      </c>
      <c r="K156" t="s">
        <v>790</v>
      </c>
      <c r="R156" t="s">
        <v>21</v>
      </c>
      <c r="S156" t="s">
        <v>281</v>
      </c>
      <c r="W156" t="s">
        <v>282</v>
      </c>
      <c r="X156">
        <v>1976</v>
      </c>
      <c r="Y156" t="s">
        <v>293</v>
      </c>
      <c r="AA156" t="s">
        <v>796</v>
      </c>
      <c r="AB156">
        <v>8</v>
      </c>
      <c r="AC156">
        <v>8</v>
      </c>
      <c r="AD156">
        <v>1</v>
      </c>
    </row>
    <row r="157" spans="3:30" x14ac:dyDescent="0.2">
      <c r="C157" t="s">
        <v>294</v>
      </c>
      <c r="D157">
        <v>40</v>
      </c>
      <c r="E157" t="s">
        <v>17</v>
      </c>
      <c r="F157">
        <v>1000</v>
      </c>
      <c r="G157" t="s">
        <v>18</v>
      </c>
      <c r="H157" t="s">
        <v>95</v>
      </c>
      <c r="I157">
        <v>1</v>
      </c>
      <c r="J157" t="s">
        <v>55</v>
      </c>
      <c r="K157" t="s">
        <v>790</v>
      </c>
      <c r="R157" t="s">
        <v>21</v>
      </c>
      <c r="S157" t="s">
        <v>281</v>
      </c>
      <c r="W157" t="s">
        <v>282</v>
      </c>
      <c r="X157">
        <v>1976</v>
      </c>
      <c r="Y157" t="s">
        <v>295</v>
      </c>
      <c r="AA157" t="s">
        <v>796</v>
      </c>
      <c r="AB157">
        <v>8</v>
      </c>
      <c r="AC157">
        <v>8</v>
      </c>
      <c r="AD157">
        <v>1</v>
      </c>
    </row>
    <row r="158" spans="3:30" x14ac:dyDescent="0.2">
      <c r="C158" t="s">
        <v>296</v>
      </c>
      <c r="D158">
        <v>40</v>
      </c>
      <c r="E158" t="s">
        <v>17</v>
      </c>
      <c r="F158">
        <v>900</v>
      </c>
      <c r="G158" t="s">
        <v>18</v>
      </c>
      <c r="H158" t="s">
        <v>95</v>
      </c>
      <c r="I158">
        <v>1</v>
      </c>
      <c r="J158" t="s">
        <v>55</v>
      </c>
      <c r="K158" t="s">
        <v>790</v>
      </c>
      <c r="R158" t="s">
        <v>21</v>
      </c>
      <c r="S158" t="s">
        <v>281</v>
      </c>
      <c r="W158" t="s">
        <v>282</v>
      </c>
      <c r="X158">
        <v>1976</v>
      </c>
      <c r="Y158" t="s">
        <v>297</v>
      </c>
      <c r="AA158" t="s">
        <v>796</v>
      </c>
      <c r="AB158">
        <v>8</v>
      </c>
      <c r="AC158">
        <v>8</v>
      </c>
      <c r="AD158">
        <v>1</v>
      </c>
    </row>
    <row r="159" spans="3:30" x14ac:dyDescent="0.2">
      <c r="C159" t="s">
        <v>298</v>
      </c>
      <c r="D159">
        <v>40</v>
      </c>
      <c r="E159" t="s">
        <v>17</v>
      </c>
      <c r="F159">
        <v>900</v>
      </c>
      <c r="G159" t="s">
        <v>18</v>
      </c>
      <c r="H159" t="s">
        <v>95</v>
      </c>
      <c r="I159">
        <v>1</v>
      </c>
      <c r="J159" t="s">
        <v>55</v>
      </c>
      <c r="K159" t="s">
        <v>790</v>
      </c>
      <c r="R159" t="s">
        <v>21</v>
      </c>
      <c r="S159" t="s">
        <v>281</v>
      </c>
      <c r="W159" t="s">
        <v>282</v>
      </c>
      <c r="X159">
        <v>1976</v>
      </c>
      <c r="Y159" t="s">
        <v>299</v>
      </c>
      <c r="AA159" t="s">
        <v>796</v>
      </c>
      <c r="AB159">
        <v>8</v>
      </c>
      <c r="AC159">
        <v>8</v>
      </c>
      <c r="AD159">
        <v>1</v>
      </c>
    </row>
    <row r="160" spans="3:30" x14ac:dyDescent="0.2">
      <c r="C160" t="s">
        <v>300</v>
      </c>
      <c r="D160">
        <v>40</v>
      </c>
      <c r="E160" t="s">
        <v>17</v>
      </c>
      <c r="F160">
        <v>900</v>
      </c>
      <c r="G160" t="s">
        <v>18</v>
      </c>
      <c r="H160" t="s">
        <v>95</v>
      </c>
      <c r="I160">
        <v>1</v>
      </c>
      <c r="J160" t="s">
        <v>55</v>
      </c>
      <c r="K160" t="s">
        <v>790</v>
      </c>
      <c r="R160" t="s">
        <v>21</v>
      </c>
      <c r="S160" t="s">
        <v>281</v>
      </c>
      <c r="W160" t="s">
        <v>282</v>
      </c>
      <c r="X160">
        <v>1976</v>
      </c>
      <c r="Y160" t="s">
        <v>301</v>
      </c>
      <c r="AA160" t="s">
        <v>796</v>
      </c>
      <c r="AB160">
        <v>8</v>
      </c>
      <c r="AC160">
        <v>8</v>
      </c>
      <c r="AD160">
        <v>1</v>
      </c>
    </row>
    <row r="161" spans="3:30" x14ac:dyDescent="0.2">
      <c r="C161" t="s">
        <v>302</v>
      </c>
      <c r="D161">
        <v>41</v>
      </c>
      <c r="E161" t="s">
        <v>17</v>
      </c>
      <c r="F161">
        <v>1000</v>
      </c>
      <c r="G161" t="s">
        <v>18</v>
      </c>
      <c r="H161" t="s">
        <v>95</v>
      </c>
      <c r="I161">
        <v>1</v>
      </c>
      <c r="J161" t="s">
        <v>55</v>
      </c>
      <c r="K161" t="s">
        <v>790</v>
      </c>
      <c r="R161" t="s">
        <v>21</v>
      </c>
      <c r="S161" t="s">
        <v>281</v>
      </c>
      <c r="W161" t="s">
        <v>303</v>
      </c>
      <c r="X161">
        <v>1976</v>
      </c>
      <c r="Y161" t="s">
        <v>304</v>
      </c>
      <c r="AA161" t="s">
        <v>798</v>
      </c>
    </row>
    <row r="162" spans="3:30" x14ac:dyDescent="0.2">
      <c r="C162" t="s">
        <v>305</v>
      </c>
      <c r="D162">
        <v>41</v>
      </c>
      <c r="E162" t="s">
        <v>17</v>
      </c>
      <c r="F162">
        <v>1000</v>
      </c>
      <c r="G162" t="s">
        <v>18</v>
      </c>
      <c r="H162" t="s">
        <v>95</v>
      </c>
      <c r="I162">
        <v>1</v>
      </c>
      <c r="J162" t="s">
        <v>55</v>
      </c>
      <c r="K162" t="s">
        <v>790</v>
      </c>
      <c r="R162" t="s">
        <v>21</v>
      </c>
      <c r="S162" t="s">
        <v>281</v>
      </c>
      <c r="W162" t="s">
        <v>303</v>
      </c>
      <c r="X162">
        <v>1976</v>
      </c>
      <c r="Y162" t="s">
        <v>306</v>
      </c>
      <c r="AA162" t="s">
        <v>798</v>
      </c>
    </row>
    <row r="163" spans="3:30" x14ac:dyDescent="0.2">
      <c r="C163" t="s">
        <v>307</v>
      </c>
      <c r="D163">
        <v>41</v>
      </c>
      <c r="E163" t="s">
        <v>17</v>
      </c>
      <c r="F163">
        <v>1000</v>
      </c>
      <c r="G163" t="s">
        <v>18</v>
      </c>
      <c r="H163" t="s">
        <v>95</v>
      </c>
      <c r="I163">
        <v>1</v>
      </c>
      <c r="J163" t="s">
        <v>55</v>
      </c>
      <c r="K163" t="s">
        <v>790</v>
      </c>
      <c r="R163" t="s">
        <v>21</v>
      </c>
      <c r="S163" t="s">
        <v>281</v>
      </c>
      <c r="W163" t="s">
        <v>303</v>
      </c>
      <c r="X163">
        <v>1976</v>
      </c>
      <c r="Y163" t="s">
        <v>308</v>
      </c>
      <c r="AA163" t="s">
        <v>798</v>
      </c>
    </row>
    <row r="164" spans="3:30" x14ac:dyDescent="0.2">
      <c r="C164" t="s">
        <v>309</v>
      </c>
      <c r="D164">
        <v>41</v>
      </c>
      <c r="E164" t="s">
        <v>17</v>
      </c>
      <c r="F164">
        <v>1000</v>
      </c>
      <c r="G164" t="s">
        <v>18</v>
      </c>
      <c r="H164" t="s">
        <v>95</v>
      </c>
      <c r="I164">
        <v>1</v>
      </c>
      <c r="J164" t="s">
        <v>55</v>
      </c>
      <c r="K164" t="s">
        <v>790</v>
      </c>
      <c r="R164" t="s">
        <v>21</v>
      </c>
      <c r="S164" t="s">
        <v>281</v>
      </c>
      <c r="W164" t="s">
        <v>303</v>
      </c>
      <c r="X164">
        <v>1976</v>
      </c>
      <c r="Y164" t="s">
        <v>310</v>
      </c>
      <c r="AA164" t="s">
        <v>798</v>
      </c>
    </row>
    <row r="165" spans="3:30" x14ac:dyDescent="0.2">
      <c r="C165" t="s">
        <v>311</v>
      </c>
      <c r="D165">
        <v>41</v>
      </c>
      <c r="E165" t="s">
        <v>17</v>
      </c>
      <c r="F165">
        <v>1000</v>
      </c>
      <c r="G165" t="s">
        <v>18</v>
      </c>
      <c r="H165" t="s">
        <v>95</v>
      </c>
      <c r="I165">
        <v>1</v>
      </c>
      <c r="J165" t="s">
        <v>55</v>
      </c>
      <c r="K165" t="s">
        <v>790</v>
      </c>
      <c r="R165" t="s">
        <v>21</v>
      </c>
      <c r="S165" t="s">
        <v>281</v>
      </c>
      <c r="W165" t="s">
        <v>303</v>
      </c>
      <c r="X165">
        <v>1976</v>
      </c>
      <c r="Y165" t="s">
        <v>312</v>
      </c>
      <c r="AA165" t="s">
        <v>798</v>
      </c>
    </row>
    <row r="166" spans="3:30" x14ac:dyDescent="0.2">
      <c r="C166" t="s">
        <v>313</v>
      </c>
      <c r="D166">
        <v>41</v>
      </c>
      <c r="E166" t="s">
        <v>17</v>
      </c>
      <c r="F166">
        <v>1000</v>
      </c>
      <c r="G166" t="s">
        <v>18</v>
      </c>
      <c r="H166" t="s">
        <v>95</v>
      </c>
      <c r="I166">
        <v>1</v>
      </c>
      <c r="J166" t="s">
        <v>55</v>
      </c>
      <c r="K166" t="s">
        <v>790</v>
      </c>
      <c r="R166" t="s">
        <v>21</v>
      </c>
      <c r="S166" t="s">
        <v>281</v>
      </c>
      <c r="W166" t="s">
        <v>303</v>
      </c>
      <c r="X166">
        <v>1976</v>
      </c>
      <c r="Y166" t="s">
        <v>314</v>
      </c>
      <c r="AA166" t="s">
        <v>798</v>
      </c>
    </row>
    <row r="167" spans="3:30" x14ac:dyDescent="0.2">
      <c r="C167" t="s">
        <v>315</v>
      </c>
      <c r="D167">
        <v>41</v>
      </c>
      <c r="E167" t="s">
        <v>17</v>
      </c>
      <c r="F167">
        <v>1000</v>
      </c>
      <c r="G167" t="s">
        <v>18</v>
      </c>
      <c r="H167" t="s">
        <v>95</v>
      </c>
      <c r="I167">
        <v>1</v>
      </c>
      <c r="J167" t="s">
        <v>55</v>
      </c>
      <c r="K167" t="s">
        <v>790</v>
      </c>
      <c r="R167" t="s">
        <v>21</v>
      </c>
      <c r="S167" t="s">
        <v>281</v>
      </c>
      <c r="W167" t="s">
        <v>303</v>
      </c>
      <c r="X167">
        <v>1976</v>
      </c>
      <c r="Y167" t="s">
        <v>316</v>
      </c>
      <c r="AA167" t="s">
        <v>798</v>
      </c>
    </row>
    <row r="168" spans="3:30" x14ac:dyDescent="0.2">
      <c r="C168" t="s">
        <v>317</v>
      </c>
      <c r="D168">
        <v>41</v>
      </c>
      <c r="E168" t="s">
        <v>17</v>
      </c>
      <c r="F168">
        <v>1000</v>
      </c>
      <c r="G168" t="s">
        <v>18</v>
      </c>
      <c r="H168" t="s">
        <v>95</v>
      </c>
      <c r="I168">
        <v>1</v>
      </c>
      <c r="J168" t="s">
        <v>55</v>
      </c>
      <c r="K168" t="s">
        <v>790</v>
      </c>
      <c r="R168" t="s">
        <v>21</v>
      </c>
      <c r="S168" t="s">
        <v>281</v>
      </c>
      <c r="W168" t="s">
        <v>303</v>
      </c>
      <c r="X168">
        <v>1976</v>
      </c>
      <c r="Y168" t="s">
        <v>318</v>
      </c>
      <c r="AA168" t="s">
        <v>798</v>
      </c>
    </row>
    <row r="169" spans="3:30" x14ac:dyDescent="0.2">
      <c r="C169" t="s">
        <v>319</v>
      </c>
      <c r="D169">
        <v>41</v>
      </c>
      <c r="E169" t="s">
        <v>17</v>
      </c>
      <c r="F169">
        <v>1000</v>
      </c>
      <c r="G169" t="s">
        <v>18</v>
      </c>
      <c r="H169" t="s">
        <v>95</v>
      </c>
      <c r="I169">
        <v>1</v>
      </c>
      <c r="J169" t="s">
        <v>55</v>
      </c>
      <c r="K169" t="s">
        <v>790</v>
      </c>
      <c r="R169" t="s">
        <v>21</v>
      </c>
      <c r="S169" t="s">
        <v>281</v>
      </c>
      <c r="W169" t="s">
        <v>303</v>
      </c>
      <c r="X169">
        <v>1976</v>
      </c>
      <c r="Y169" t="s">
        <v>320</v>
      </c>
      <c r="AA169" t="s">
        <v>798</v>
      </c>
    </row>
    <row r="170" spans="3:30" x14ac:dyDescent="0.2">
      <c r="C170" t="s">
        <v>321</v>
      </c>
      <c r="D170">
        <v>41</v>
      </c>
      <c r="E170" t="s">
        <v>17</v>
      </c>
      <c r="F170">
        <v>1000</v>
      </c>
      <c r="G170" t="s">
        <v>18</v>
      </c>
      <c r="H170" t="s">
        <v>95</v>
      </c>
      <c r="I170">
        <v>1</v>
      </c>
      <c r="J170" t="s">
        <v>55</v>
      </c>
      <c r="K170" t="s">
        <v>790</v>
      </c>
      <c r="R170" t="s">
        <v>21</v>
      </c>
      <c r="S170" t="s">
        <v>281</v>
      </c>
      <c r="W170" t="s">
        <v>303</v>
      </c>
      <c r="X170">
        <v>1976</v>
      </c>
      <c r="Y170" t="s">
        <v>322</v>
      </c>
      <c r="AA170" t="s">
        <v>798</v>
      </c>
    </row>
    <row r="171" spans="3:30" x14ac:dyDescent="0.2">
      <c r="C171" t="s">
        <v>323</v>
      </c>
      <c r="D171">
        <v>43</v>
      </c>
      <c r="E171" t="s">
        <v>17</v>
      </c>
      <c r="F171">
        <v>900</v>
      </c>
      <c r="G171" t="s">
        <v>18</v>
      </c>
      <c r="H171" t="s">
        <v>95</v>
      </c>
      <c r="I171">
        <v>160</v>
      </c>
      <c r="J171" t="s">
        <v>20</v>
      </c>
      <c r="K171" t="s">
        <v>790</v>
      </c>
      <c r="R171" t="s">
        <v>196</v>
      </c>
      <c r="S171" t="s">
        <v>324</v>
      </c>
      <c r="W171" t="s">
        <v>325</v>
      </c>
      <c r="X171">
        <v>2019</v>
      </c>
      <c r="Y171" t="s">
        <v>326</v>
      </c>
      <c r="AA171" t="s">
        <v>796</v>
      </c>
      <c r="AB171">
        <v>6</v>
      </c>
      <c r="AC171">
        <v>6</v>
      </c>
      <c r="AD171">
        <v>3</v>
      </c>
    </row>
    <row r="172" spans="3:30" x14ac:dyDescent="0.2">
      <c r="C172" t="s">
        <v>323</v>
      </c>
      <c r="D172">
        <v>43</v>
      </c>
      <c r="E172" t="s">
        <v>17</v>
      </c>
      <c r="F172">
        <v>1000</v>
      </c>
      <c r="G172" t="s">
        <v>18</v>
      </c>
      <c r="H172" t="s">
        <v>95</v>
      </c>
      <c r="I172">
        <v>160</v>
      </c>
      <c r="J172" t="s">
        <v>20</v>
      </c>
      <c r="K172" t="s">
        <v>790</v>
      </c>
      <c r="R172" t="s">
        <v>196</v>
      </c>
      <c r="S172" t="s">
        <v>324</v>
      </c>
      <c r="W172" t="s">
        <v>325</v>
      </c>
      <c r="X172">
        <v>2019</v>
      </c>
      <c r="Y172" t="s">
        <v>327</v>
      </c>
      <c r="AA172" t="s">
        <v>796</v>
      </c>
      <c r="AB172">
        <v>6</v>
      </c>
      <c r="AC172">
        <v>6</v>
      </c>
      <c r="AD172">
        <v>3</v>
      </c>
    </row>
    <row r="173" spans="3:30" x14ac:dyDescent="0.2">
      <c r="C173" t="s">
        <v>328</v>
      </c>
      <c r="D173">
        <v>43</v>
      </c>
      <c r="E173" t="s">
        <v>17</v>
      </c>
      <c r="F173">
        <v>900</v>
      </c>
      <c r="G173" t="s">
        <v>18</v>
      </c>
      <c r="H173" t="s">
        <v>95</v>
      </c>
      <c r="I173">
        <v>160</v>
      </c>
      <c r="J173" t="s">
        <v>20</v>
      </c>
      <c r="K173" t="s">
        <v>790</v>
      </c>
      <c r="R173" t="s">
        <v>196</v>
      </c>
      <c r="S173" t="s">
        <v>324</v>
      </c>
      <c r="W173" t="s">
        <v>325</v>
      </c>
      <c r="X173">
        <v>2019</v>
      </c>
      <c r="Y173" t="s">
        <v>329</v>
      </c>
      <c r="AA173" t="s">
        <v>796</v>
      </c>
      <c r="AB173">
        <v>6</v>
      </c>
      <c r="AC173">
        <v>6</v>
      </c>
      <c r="AD173">
        <v>3</v>
      </c>
    </row>
    <row r="174" spans="3:30" x14ac:dyDescent="0.2">
      <c r="C174" t="s">
        <v>328</v>
      </c>
      <c r="D174">
        <v>43</v>
      </c>
      <c r="E174" t="s">
        <v>17</v>
      </c>
      <c r="F174">
        <v>1000</v>
      </c>
      <c r="G174" t="s">
        <v>18</v>
      </c>
      <c r="H174" t="s">
        <v>95</v>
      </c>
      <c r="I174">
        <v>160</v>
      </c>
      <c r="J174" t="s">
        <v>20</v>
      </c>
      <c r="K174" t="s">
        <v>790</v>
      </c>
      <c r="R174" t="s">
        <v>196</v>
      </c>
      <c r="S174" t="s">
        <v>324</v>
      </c>
      <c r="W174" t="s">
        <v>325</v>
      </c>
      <c r="X174">
        <v>2019</v>
      </c>
      <c r="Y174" t="s">
        <v>330</v>
      </c>
      <c r="AA174" t="s">
        <v>796</v>
      </c>
      <c r="AB174">
        <v>6</v>
      </c>
      <c r="AC174">
        <v>6</v>
      </c>
      <c r="AD174">
        <v>3</v>
      </c>
    </row>
    <row r="175" spans="3:30" x14ac:dyDescent="0.2">
      <c r="C175" t="s">
        <v>331</v>
      </c>
      <c r="D175">
        <v>44</v>
      </c>
      <c r="E175" t="s">
        <v>17</v>
      </c>
      <c r="F175">
        <v>700</v>
      </c>
      <c r="G175" t="s">
        <v>18</v>
      </c>
      <c r="H175" t="s">
        <v>95</v>
      </c>
      <c r="I175">
        <v>160</v>
      </c>
      <c r="J175" t="s">
        <v>20</v>
      </c>
      <c r="K175" t="s">
        <v>790</v>
      </c>
      <c r="R175" t="s">
        <v>21</v>
      </c>
      <c r="S175" t="s">
        <v>332</v>
      </c>
      <c r="W175" t="s">
        <v>333</v>
      </c>
      <c r="X175">
        <v>2020</v>
      </c>
      <c r="Y175" t="s">
        <v>334</v>
      </c>
      <c r="AA175" t="s">
        <v>796</v>
      </c>
      <c r="AB175">
        <v>3</v>
      </c>
      <c r="AC175">
        <v>4</v>
      </c>
      <c r="AD175">
        <v>1</v>
      </c>
    </row>
    <row r="176" spans="3:30" x14ac:dyDescent="0.2">
      <c r="C176" t="s">
        <v>331</v>
      </c>
      <c r="D176">
        <v>44</v>
      </c>
      <c r="E176" t="s">
        <v>17</v>
      </c>
      <c r="F176">
        <v>800</v>
      </c>
      <c r="G176" t="s">
        <v>18</v>
      </c>
      <c r="H176" t="s">
        <v>95</v>
      </c>
      <c r="I176">
        <v>160</v>
      </c>
      <c r="J176" t="s">
        <v>20</v>
      </c>
      <c r="K176" t="s">
        <v>790</v>
      </c>
      <c r="R176" t="s">
        <v>21</v>
      </c>
      <c r="S176" t="s">
        <v>332</v>
      </c>
      <c r="W176" t="s">
        <v>333</v>
      </c>
      <c r="X176">
        <v>2020</v>
      </c>
      <c r="Y176" t="s">
        <v>335</v>
      </c>
      <c r="AA176" t="s">
        <v>796</v>
      </c>
      <c r="AB176">
        <v>3</v>
      </c>
      <c r="AC176">
        <v>4</v>
      </c>
      <c r="AD176">
        <v>1</v>
      </c>
    </row>
    <row r="177" spans="3:30" x14ac:dyDescent="0.2">
      <c r="C177" t="s">
        <v>331</v>
      </c>
      <c r="D177">
        <v>44</v>
      </c>
      <c r="E177" t="s">
        <v>17</v>
      </c>
      <c r="F177">
        <v>900</v>
      </c>
      <c r="G177" t="s">
        <v>18</v>
      </c>
      <c r="H177" t="s">
        <v>95</v>
      </c>
      <c r="I177">
        <v>160</v>
      </c>
      <c r="J177" t="s">
        <v>20</v>
      </c>
      <c r="K177" t="s">
        <v>790</v>
      </c>
      <c r="R177" t="s">
        <v>21</v>
      </c>
      <c r="S177" t="s">
        <v>332</v>
      </c>
      <c r="W177" t="s">
        <v>333</v>
      </c>
      <c r="X177">
        <v>2020</v>
      </c>
      <c r="Y177" t="s">
        <v>336</v>
      </c>
      <c r="AA177" t="s">
        <v>796</v>
      </c>
      <c r="AB177">
        <v>3</v>
      </c>
      <c r="AC177">
        <v>4</v>
      </c>
      <c r="AD177">
        <v>1</v>
      </c>
    </row>
    <row r="178" spans="3:30" x14ac:dyDescent="0.2">
      <c r="C178" t="s">
        <v>337</v>
      </c>
      <c r="D178">
        <v>44</v>
      </c>
      <c r="E178" t="s">
        <v>17</v>
      </c>
      <c r="F178">
        <v>700</v>
      </c>
      <c r="G178" t="s">
        <v>18</v>
      </c>
      <c r="H178" t="s">
        <v>95</v>
      </c>
      <c r="I178">
        <v>160</v>
      </c>
      <c r="J178" t="s">
        <v>20</v>
      </c>
      <c r="K178" t="s">
        <v>790</v>
      </c>
      <c r="R178" t="s">
        <v>21</v>
      </c>
      <c r="S178" t="s">
        <v>332</v>
      </c>
      <c r="W178" t="s">
        <v>333</v>
      </c>
      <c r="X178">
        <v>2020</v>
      </c>
      <c r="Y178" t="s">
        <v>338</v>
      </c>
      <c r="AA178" t="s">
        <v>796</v>
      </c>
      <c r="AB178">
        <v>3</v>
      </c>
      <c r="AC178">
        <v>4</v>
      </c>
      <c r="AD178">
        <v>1</v>
      </c>
    </row>
    <row r="179" spans="3:30" x14ac:dyDescent="0.2">
      <c r="C179" t="s">
        <v>337</v>
      </c>
      <c r="D179">
        <v>44</v>
      </c>
      <c r="E179" t="s">
        <v>17</v>
      </c>
      <c r="F179">
        <v>800</v>
      </c>
      <c r="G179" t="s">
        <v>18</v>
      </c>
      <c r="H179" t="s">
        <v>95</v>
      </c>
      <c r="I179">
        <v>160</v>
      </c>
      <c r="J179" t="s">
        <v>20</v>
      </c>
      <c r="K179" t="s">
        <v>790</v>
      </c>
      <c r="R179" t="s">
        <v>21</v>
      </c>
      <c r="S179" t="s">
        <v>332</v>
      </c>
      <c r="W179" t="s">
        <v>333</v>
      </c>
      <c r="X179">
        <v>2020</v>
      </c>
      <c r="Y179" t="s">
        <v>339</v>
      </c>
      <c r="AA179" t="s">
        <v>796</v>
      </c>
      <c r="AB179">
        <v>3</v>
      </c>
      <c r="AC179">
        <v>4</v>
      </c>
      <c r="AD179">
        <v>1</v>
      </c>
    </row>
    <row r="180" spans="3:30" x14ac:dyDescent="0.2">
      <c r="C180" t="s">
        <v>337</v>
      </c>
      <c r="D180">
        <v>44</v>
      </c>
      <c r="E180" t="s">
        <v>17</v>
      </c>
      <c r="F180">
        <v>900</v>
      </c>
      <c r="G180" t="s">
        <v>18</v>
      </c>
      <c r="H180" t="s">
        <v>95</v>
      </c>
      <c r="I180">
        <v>160</v>
      </c>
      <c r="J180" t="s">
        <v>20</v>
      </c>
      <c r="K180" t="s">
        <v>790</v>
      </c>
      <c r="R180" t="s">
        <v>21</v>
      </c>
      <c r="S180" t="s">
        <v>332</v>
      </c>
      <c r="W180" t="s">
        <v>333</v>
      </c>
      <c r="X180">
        <v>2020</v>
      </c>
      <c r="Y180" t="s">
        <v>340</v>
      </c>
      <c r="AA180" t="s">
        <v>796</v>
      </c>
      <c r="AB180">
        <v>3</v>
      </c>
      <c r="AC180">
        <v>4</v>
      </c>
      <c r="AD180">
        <v>1</v>
      </c>
    </row>
    <row r="181" spans="3:30" x14ac:dyDescent="0.2">
      <c r="C181" t="s">
        <v>328</v>
      </c>
      <c r="D181">
        <v>44</v>
      </c>
      <c r="E181" t="s">
        <v>17</v>
      </c>
      <c r="F181">
        <v>700</v>
      </c>
      <c r="G181" t="s">
        <v>18</v>
      </c>
      <c r="H181" t="s">
        <v>95</v>
      </c>
      <c r="I181">
        <v>160</v>
      </c>
      <c r="J181" t="s">
        <v>20</v>
      </c>
      <c r="K181" t="s">
        <v>790</v>
      </c>
      <c r="R181" t="s">
        <v>21</v>
      </c>
      <c r="S181" t="s">
        <v>332</v>
      </c>
      <c r="W181" t="s">
        <v>333</v>
      </c>
      <c r="X181">
        <v>2020</v>
      </c>
      <c r="Y181" t="s">
        <v>341</v>
      </c>
      <c r="AA181" t="s">
        <v>796</v>
      </c>
      <c r="AB181">
        <v>3</v>
      </c>
      <c r="AC181">
        <v>4</v>
      </c>
      <c r="AD181">
        <v>1</v>
      </c>
    </row>
    <row r="182" spans="3:30" x14ac:dyDescent="0.2">
      <c r="C182" t="s">
        <v>328</v>
      </c>
      <c r="D182">
        <v>44</v>
      </c>
      <c r="E182" t="s">
        <v>17</v>
      </c>
      <c r="F182">
        <v>800</v>
      </c>
      <c r="G182" t="s">
        <v>18</v>
      </c>
      <c r="H182" t="s">
        <v>95</v>
      </c>
      <c r="I182">
        <v>160</v>
      </c>
      <c r="J182" t="s">
        <v>20</v>
      </c>
      <c r="K182" t="s">
        <v>790</v>
      </c>
      <c r="R182" t="s">
        <v>21</v>
      </c>
      <c r="S182" t="s">
        <v>332</v>
      </c>
      <c r="W182" t="s">
        <v>333</v>
      </c>
      <c r="X182">
        <v>2020</v>
      </c>
      <c r="Y182" t="s">
        <v>342</v>
      </c>
      <c r="AA182" t="s">
        <v>796</v>
      </c>
      <c r="AB182">
        <v>3</v>
      </c>
      <c r="AC182">
        <v>4</v>
      </c>
      <c r="AD182">
        <v>1</v>
      </c>
    </row>
    <row r="183" spans="3:30" x14ac:dyDescent="0.2">
      <c r="C183" t="s">
        <v>328</v>
      </c>
      <c r="D183">
        <v>44</v>
      </c>
      <c r="E183" t="s">
        <v>17</v>
      </c>
      <c r="F183">
        <v>900</v>
      </c>
      <c r="G183" t="s">
        <v>18</v>
      </c>
      <c r="H183" t="s">
        <v>95</v>
      </c>
      <c r="I183">
        <v>160</v>
      </c>
      <c r="J183" t="s">
        <v>20</v>
      </c>
      <c r="K183" t="s">
        <v>790</v>
      </c>
      <c r="R183" t="s">
        <v>21</v>
      </c>
      <c r="S183" t="s">
        <v>332</v>
      </c>
      <c r="W183" t="s">
        <v>333</v>
      </c>
      <c r="X183">
        <v>2020</v>
      </c>
      <c r="Y183" t="s">
        <v>343</v>
      </c>
      <c r="AA183" t="s">
        <v>796</v>
      </c>
      <c r="AB183">
        <v>3</v>
      </c>
      <c r="AC183">
        <v>4</v>
      </c>
      <c r="AD183">
        <v>1</v>
      </c>
    </row>
    <row r="184" spans="3:30" x14ac:dyDescent="0.2">
      <c r="C184" t="s">
        <v>344</v>
      </c>
      <c r="D184">
        <v>45</v>
      </c>
      <c r="E184" t="s">
        <v>17</v>
      </c>
      <c r="F184">
        <v>700</v>
      </c>
      <c r="G184" t="s">
        <v>18</v>
      </c>
      <c r="H184" t="s">
        <v>95</v>
      </c>
      <c r="I184">
        <v>160</v>
      </c>
      <c r="J184" t="s">
        <v>20</v>
      </c>
      <c r="K184" t="s">
        <v>790</v>
      </c>
      <c r="R184" t="s">
        <v>196</v>
      </c>
      <c r="S184" t="s">
        <v>345</v>
      </c>
      <c r="W184" t="s">
        <v>346</v>
      </c>
      <c r="X184">
        <v>2008</v>
      </c>
      <c r="Y184" t="s">
        <v>347</v>
      </c>
      <c r="AA184" t="s">
        <v>796</v>
      </c>
      <c r="AB184">
        <v>3.1749999999999998</v>
      </c>
      <c r="AC184">
        <v>3.1749999999999998</v>
      </c>
      <c r="AD184">
        <v>0.39687499999999998</v>
      </c>
    </row>
    <row r="185" spans="3:30" x14ac:dyDescent="0.2">
      <c r="C185" t="s">
        <v>344</v>
      </c>
      <c r="D185">
        <v>45</v>
      </c>
      <c r="E185" t="s">
        <v>17</v>
      </c>
      <c r="F185">
        <v>1000</v>
      </c>
      <c r="G185" t="s">
        <v>18</v>
      </c>
      <c r="H185" t="s">
        <v>95</v>
      </c>
      <c r="I185">
        <v>160</v>
      </c>
      <c r="J185" t="s">
        <v>20</v>
      </c>
      <c r="K185" t="s">
        <v>790</v>
      </c>
      <c r="R185" t="s">
        <v>196</v>
      </c>
      <c r="S185" t="s">
        <v>345</v>
      </c>
      <c r="W185" t="s">
        <v>346</v>
      </c>
      <c r="X185">
        <v>2008</v>
      </c>
      <c r="Y185" t="s">
        <v>348</v>
      </c>
      <c r="AA185" t="s">
        <v>796</v>
      </c>
      <c r="AB185">
        <v>3.1749999999999998</v>
      </c>
      <c r="AC185">
        <v>3.1749999999999998</v>
      </c>
      <c r="AD185">
        <v>0.39687499999999998</v>
      </c>
    </row>
    <row r="186" spans="3:30" x14ac:dyDescent="0.2">
      <c r="C186" t="s">
        <v>344</v>
      </c>
      <c r="D186">
        <v>45</v>
      </c>
      <c r="E186" t="s">
        <v>17</v>
      </c>
      <c r="F186">
        <v>1100</v>
      </c>
      <c r="G186" t="s">
        <v>18</v>
      </c>
      <c r="H186" t="s">
        <v>95</v>
      </c>
      <c r="I186">
        <v>160</v>
      </c>
      <c r="J186" t="s">
        <v>20</v>
      </c>
      <c r="K186" t="s">
        <v>790</v>
      </c>
      <c r="R186" t="s">
        <v>196</v>
      </c>
      <c r="S186" t="s">
        <v>345</v>
      </c>
      <c r="W186" t="s">
        <v>346</v>
      </c>
      <c r="X186">
        <v>2008</v>
      </c>
      <c r="Y186" t="s">
        <v>349</v>
      </c>
      <c r="AA186" t="s">
        <v>796</v>
      </c>
      <c r="AB186">
        <v>3.1749999999999998</v>
      </c>
      <c r="AC186">
        <v>3.1749999999999998</v>
      </c>
      <c r="AD186">
        <v>0.39687499999999998</v>
      </c>
    </row>
    <row r="187" spans="3:30" x14ac:dyDescent="0.2">
      <c r="C187" t="s">
        <v>344</v>
      </c>
      <c r="D187">
        <v>45</v>
      </c>
      <c r="E187" t="s">
        <v>17</v>
      </c>
      <c r="F187">
        <v>1200</v>
      </c>
      <c r="G187" t="s">
        <v>18</v>
      </c>
      <c r="H187" t="s">
        <v>95</v>
      </c>
      <c r="I187">
        <v>160</v>
      </c>
      <c r="J187" t="s">
        <v>20</v>
      </c>
      <c r="K187" t="s">
        <v>790</v>
      </c>
      <c r="R187" t="s">
        <v>196</v>
      </c>
      <c r="S187" t="s">
        <v>345</v>
      </c>
      <c r="W187" t="s">
        <v>346</v>
      </c>
      <c r="X187">
        <v>2008</v>
      </c>
      <c r="Y187" t="s">
        <v>350</v>
      </c>
      <c r="AA187" t="s">
        <v>796</v>
      </c>
      <c r="AB187">
        <v>3.1749999999999998</v>
      </c>
      <c r="AC187">
        <v>3.1749999999999998</v>
      </c>
      <c r="AD187">
        <v>0.39687499999999998</v>
      </c>
    </row>
    <row r="188" spans="3:30" x14ac:dyDescent="0.2">
      <c r="C188" t="s">
        <v>344</v>
      </c>
      <c r="D188">
        <v>45</v>
      </c>
      <c r="E188" t="s">
        <v>17</v>
      </c>
      <c r="F188">
        <v>1300</v>
      </c>
      <c r="G188" t="s">
        <v>18</v>
      </c>
      <c r="H188" t="s">
        <v>95</v>
      </c>
      <c r="I188">
        <v>160</v>
      </c>
      <c r="J188" t="s">
        <v>20</v>
      </c>
      <c r="K188" t="s">
        <v>790</v>
      </c>
      <c r="R188" t="s">
        <v>196</v>
      </c>
      <c r="S188" t="s">
        <v>345</v>
      </c>
      <c r="W188" t="s">
        <v>346</v>
      </c>
      <c r="X188">
        <v>2008</v>
      </c>
      <c r="Y188" t="s">
        <v>351</v>
      </c>
      <c r="AA188" t="s">
        <v>796</v>
      </c>
      <c r="AB188">
        <v>3.1749999999999998</v>
      </c>
      <c r="AC188">
        <v>3.1749999999999998</v>
      </c>
      <c r="AD188">
        <v>0.39687499999999998</v>
      </c>
    </row>
    <row r="189" spans="3:30" x14ac:dyDescent="0.2">
      <c r="C189" t="s">
        <v>344</v>
      </c>
      <c r="D189">
        <v>45</v>
      </c>
      <c r="E189" t="s">
        <v>17</v>
      </c>
      <c r="F189">
        <v>1400</v>
      </c>
      <c r="G189" t="s">
        <v>18</v>
      </c>
      <c r="H189" t="s">
        <v>95</v>
      </c>
      <c r="I189">
        <v>160</v>
      </c>
      <c r="J189" t="s">
        <v>20</v>
      </c>
      <c r="K189" t="s">
        <v>790</v>
      </c>
      <c r="R189" t="s">
        <v>196</v>
      </c>
      <c r="S189" t="s">
        <v>345</v>
      </c>
      <c r="W189" t="s">
        <v>346</v>
      </c>
      <c r="X189">
        <v>2008</v>
      </c>
      <c r="Y189" t="s">
        <v>352</v>
      </c>
      <c r="AA189" t="s">
        <v>796</v>
      </c>
      <c r="AB189">
        <v>3.1749999999999998</v>
      </c>
      <c r="AC189">
        <v>3.1749999999999998</v>
      </c>
      <c r="AD189">
        <v>0.39687499999999998</v>
      </c>
    </row>
    <row r="190" spans="3:30" x14ac:dyDescent="0.2">
      <c r="C190" t="s">
        <v>353</v>
      </c>
      <c r="D190">
        <v>46</v>
      </c>
      <c r="E190" t="s">
        <v>176</v>
      </c>
      <c r="F190">
        <v>600</v>
      </c>
      <c r="G190" t="s">
        <v>18</v>
      </c>
      <c r="H190" t="s">
        <v>95</v>
      </c>
      <c r="I190">
        <v>160</v>
      </c>
      <c r="J190" t="s">
        <v>20</v>
      </c>
      <c r="K190" t="s">
        <v>790</v>
      </c>
      <c r="R190" t="s">
        <v>21</v>
      </c>
      <c r="S190" t="s">
        <v>186</v>
      </c>
      <c r="W190" t="s">
        <v>354</v>
      </c>
      <c r="X190">
        <v>1999</v>
      </c>
      <c r="Y190" t="s">
        <v>355</v>
      </c>
      <c r="AA190" t="s">
        <v>798</v>
      </c>
    </row>
    <row r="191" spans="3:30" x14ac:dyDescent="0.2">
      <c r="C191" t="s">
        <v>353</v>
      </c>
      <c r="D191">
        <v>46</v>
      </c>
      <c r="E191" t="s">
        <v>176</v>
      </c>
      <c r="F191">
        <v>650</v>
      </c>
      <c r="G191" t="s">
        <v>18</v>
      </c>
      <c r="H191" t="s">
        <v>95</v>
      </c>
      <c r="I191">
        <v>160</v>
      </c>
      <c r="J191" t="s">
        <v>20</v>
      </c>
      <c r="K191" t="s">
        <v>790</v>
      </c>
      <c r="R191" t="s">
        <v>21</v>
      </c>
      <c r="S191" t="s">
        <v>186</v>
      </c>
      <c r="W191" t="s">
        <v>354</v>
      </c>
      <c r="X191">
        <v>1999</v>
      </c>
      <c r="Y191" t="s">
        <v>356</v>
      </c>
      <c r="AA191" t="s">
        <v>798</v>
      </c>
    </row>
    <row r="192" spans="3:30" x14ac:dyDescent="0.2">
      <c r="C192" t="s">
        <v>353</v>
      </c>
      <c r="D192">
        <v>46</v>
      </c>
      <c r="E192" t="s">
        <v>176</v>
      </c>
      <c r="F192">
        <v>700</v>
      </c>
      <c r="G192" t="s">
        <v>18</v>
      </c>
      <c r="H192" t="s">
        <v>95</v>
      </c>
      <c r="I192">
        <v>160</v>
      </c>
      <c r="J192" t="s">
        <v>20</v>
      </c>
      <c r="K192" t="s">
        <v>790</v>
      </c>
      <c r="R192" t="s">
        <v>21</v>
      </c>
      <c r="S192" t="s">
        <v>186</v>
      </c>
      <c r="W192" t="s">
        <v>354</v>
      </c>
      <c r="X192">
        <v>1999</v>
      </c>
      <c r="Y192" t="s">
        <v>357</v>
      </c>
      <c r="AA192" t="s">
        <v>798</v>
      </c>
    </row>
    <row r="193" spans="3:27" x14ac:dyDescent="0.2">
      <c r="C193" t="s">
        <v>353</v>
      </c>
      <c r="D193">
        <v>46</v>
      </c>
      <c r="E193" t="s">
        <v>176</v>
      </c>
      <c r="F193">
        <v>725</v>
      </c>
      <c r="G193" t="s">
        <v>18</v>
      </c>
      <c r="H193" t="s">
        <v>95</v>
      </c>
      <c r="I193">
        <v>160</v>
      </c>
      <c r="J193" t="s">
        <v>20</v>
      </c>
      <c r="K193" t="s">
        <v>790</v>
      </c>
      <c r="O193">
        <v>10</v>
      </c>
      <c r="R193" t="s">
        <v>21</v>
      </c>
      <c r="S193" t="s">
        <v>186</v>
      </c>
      <c r="W193" t="s">
        <v>354</v>
      </c>
      <c r="X193">
        <v>1999</v>
      </c>
      <c r="Y193" t="s">
        <v>358</v>
      </c>
      <c r="AA193" t="s">
        <v>798</v>
      </c>
    </row>
    <row r="194" spans="3:27" x14ac:dyDescent="0.2">
      <c r="C194" t="s">
        <v>353</v>
      </c>
      <c r="D194">
        <v>46</v>
      </c>
      <c r="E194" t="s">
        <v>176</v>
      </c>
      <c r="F194">
        <v>750</v>
      </c>
      <c r="G194" t="s">
        <v>18</v>
      </c>
      <c r="H194" t="s">
        <v>95</v>
      </c>
      <c r="I194">
        <v>160</v>
      </c>
      <c r="J194" t="s">
        <v>20</v>
      </c>
      <c r="K194" t="s">
        <v>790</v>
      </c>
      <c r="R194" t="s">
        <v>21</v>
      </c>
      <c r="S194" t="s">
        <v>186</v>
      </c>
      <c r="W194" t="s">
        <v>354</v>
      </c>
      <c r="X194">
        <v>1999</v>
      </c>
      <c r="Y194" t="s">
        <v>359</v>
      </c>
      <c r="AA194" t="s">
        <v>798</v>
      </c>
    </row>
    <row r="195" spans="3:27" x14ac:dyDescent="0.2">
      <c r="C195" t="s">
        <v>353</v>
      </c>
      <c r="D195">
        <v>46</v>
      </c>
      <c r="E195" t="s">
        <v>176</v>
      </c>
      <c r="F195">
        <v>775</v>
      </c>
      <c r="G195" t="s">
        <v>18</v>
      </c>
      <c r="H195" t="s">
        <v>95</v>
      </c>
      <c r="I195">
        <v>160</v>
      </c>
      <c r="J195" t="s">
        <v>20</v>
      </c>
      <c r="K195" t="s">
        <v>790</v>
      </c>
      <c r="R195" t="s">
        <v>21</v>
      </c>
      <c r="S195" t="s">
        <v>186</v>
      </c>
      <c r="W195" t="s">
        <v>354</v>
      </c>
      <c r="X195">
        <v>1999</v>
      </c>
      <c r="Y195" t="s">
        <v>360</v>
      </c>
      <c r="AA195" t="s">
        <v>798</v>
      </c>
    </row>
    <row r="196" spans="3:27" x14ac:dyDescent="0.2">
      <c r="C196" t="s">
        <v>353</v>
      </c>
      <c r="D196">
        <v>46</v>
      </c>
      <c r="E196" t="s">
        <v>176</v>
      </c>
      <c r="F196">
        <v>800</v>
      </c>
      <c r="G196" t="s">
        <v>18</v>
      </c>
      <c r="H196" t="s">
        <v>95</v>
      </c>
      <c r="I196">
        <v>160</v>
      </c>
      <c r="J196" t="s">
        <v>20</v>
      </c>
      <c r="K196" t="s">
        <v>790</v>
      </c>
      <c r="R196" t="s">
        <v>21</v>
      </c>
      <c r="S196" t="s">
        <v>186</v>
      </c>
      <c r="W196" t="s">
        <v>354</v>
      </c>
      <c r="X196">
        <v>1999</v>
      </c>
      <c r="Y196" t="s">
        <v>361</v>
      </c>
      <c r="AA196" t="s">
        <v>798</v>
      </c>
    </row>
    <row r="197" spans="3:27" x14ac:dyDescent="0.2">
      <c r="C197" t="s">
        <v>353</v>
      </c>
      <c r="D197">
        <v>46</v>
      </c>
      <c r="E197" t="s">
        <v>176</v>
      </c>
      <c r="F197">
        <v>825</v>
      </c>
      <c r="G197" t="s">
        <v>18</v>
      </c>
      <c r="H197" t="s">
        <v>95</v>
      </c>
      <c r="I197">
        <v>160</v>
      </c>
      <c r="J197" t="s">
        <v>20</v>
      </c>
      <c r="K197" t="s">
        <v>790</v>
      </c>
      <c r="R197" t="s">
        <v>21</v>
      </c>
      <c r="S197" t="s">
        <v>186</v>
      </c>
      <c r="W197" t="s">
        <v>354</v>
      </c>
      <c r="X197">
        <v>1999</v>
      </c>
      <c r="Y197" t="s">
        <v>362</v>
      </c>
      <c r="AA197" t="s">
        <v>798</v>
      </c>
    </row>
    <row r="198" spans="3:27" x14ac:dyDescent="0.2">
      <c r="C198" t="s">
        <v>353</v>
      </c>
      <c r="D198">
        <v>46</v>
      </c>
      <c r="E198" t="s">
        <v>176</v>
      </c>
      <c r="F198">
        <v>850</v>
      </c>
      <c r="G198" t="s">
        <v>18</v>
      </c>
      <c r="H198" t="s">
        <v>95</v>
      </c>
      <c r="I198">
        <v>160</v>
      </c>
      <c r="J198" t="s">
        <v>20</v>
      </c>
      <c r="K198" t="s">
        <v>790</v>
      </c>
      <c r="R198" t="s">
        <v>21</v>
      </c>
      <c r="S198" t="s">
        <v>186</v>
      </c>
      <c r="W198" t="s">
        <v>354</v>
      </c>
      <c r="X198">
        <v>1999</v>
      </c>
      <c r="Y198" t="s">
        <v>363</v>
      </c>
      <c r="AA198" t="s">
        <v>798</v>
      </c>
    </row>
    <row r="199" spans="3:27" x14ac:dyDescent="0.2">
      <c r="C199" t="s">
        <v>353</v>
      </c>
      <c r="D199">
        <v>46</v>
      </c>
      <c r="E199" t="s">
        <v>176</v>
      </c>
      <c r="F199">
        <v>875</v>
      </c>
      <c r="G199" t="s">
        <v>18</v>
      </c>
      <c r="H199" t="s">
        <v>95</v>
      </c>
      <c r="I199">
        <v>160</v>
      </c>
      <c r="J199" t="s">
        <v>20</v>
      </c>
      <c r="K199" t="s">
        <v>790</v>
      </c>
      <c r="R199" t="s">
        <v>21</v>
      </c>
      <c r="S199" t="s">
        <v>186</v>
      </c>
      <c r="W199" t="s">
        <v>354</v>
      </c>
      <c r="X199">
        <v>1999</v>
      </c>
      <c r="Y199" t="s">
        <v>364</v>
      </c>
      <c r="AA199" t="s">
        <v>798</v>
      </c>
    </row>
    <row r="200" spans="3:27" x14ac:dyDescent="0.2">
      <c r="C200" t="s">
        <v>353</v>
      </c>
      <c r="D200">
        <v>46</v>
      </c>
      <c r="E200" t="s">
        <v>176</v>
      </c>
      <c r="F200">
        <v>900</v>
      </c>
      <c r="G200" t="s">
        <v>18</v>
      </c>
      <c r="H200" t="s">
        <v>95</v>
      </c>
      <c r="I200">
        <v>160</v>
      </c>
      <c r="J200" t="s">
        <v>20</v>
      </c>
      <c r="K200" t="s">
        <v>790</v>
      </c>
      <c r="R200" t="s">
        <v>21</v>
      </c>
      <c r="S200" t="s">
        <v>186</v>
      </c>
      <c r="W200" t="s">
        <v>354</v>
      </c>
      <c r="X200">
        <v>1999</v>
      </c>
      <c r="Y200" t="s">
        <v>365</v>
      </c>
      <c r="AA200" t="s">
        <v>798</v>
      </c>
    </row>
    <row r="201" spans="3:27" x14ac:dyDescent="0.2">
      <c r="C201" t="s">
        <v>353</v>
      </c>
      <c r="D201">
        <v>46</v>
      </c>
      <c r="E201" t="s">
        <v>176</v>
      </c>
      <c r="F201">
        <v>950</v>
      </c>
      <c r="G201" t="s">
        <v>18</v>
      </c>
      <c r="H201" t="s">
        <v>95</v>
      </c>
      <c r="I201">
        <v>160</v>
      </c>
      <c r="J201" t="s">
        <v>20</v>
      </c>
      <c r="K201" t="s">
        <v>790</v>
      </c>
      <c r="R201" t="s">
        <v>21</v>
      </c>
      <c r="S201" t="s">
        <v>186</v>
      </c>
      <c r="W201" t="s">
        <v>354</v>
      </c>
      <c r="X201">
        <v>1999</v>
      </c>
      <c r="Y201" t="s">
        <v>366</v>
      </c>
      <c r="AA201" t="s">
        <v>798</v>
      </c>
    </row>
    <row r="202" spans="3:27" x14ac:dyDescent="0.2">
      <c r="C202" t="s">
        <v>353</v>
      </c>
      <c r="D202">
        <v>46</v>
      </c>
      <c r="E202" t="s">
        <v>176</v>
      </c>
      <c r="F202">
        <v>1000</v>
      </c>
      <c r="G202" t="s">
        <v>18</v>
      </c>
      <c r="H202" t="s">
        <v>95</v>
      </c>
      <c r="I202">
        <v>160</v>
      </c>
      <c r="J202" t="s">
        <v>20</v>
      </c>
      <c r="K202" t="s">
        <v>790</v>
      </c>
      <c r="R202" t="s">
        <v>21</v>
      </c>
      <c r="S202" t="s">
        <v>186</v>
      </c>
      <c r="W202" t="s">
        <v>354</v>
      </c>
      <c r="X202">
        <v>1999</v>
      </c>
      <c r="Y202" t="s">
        <v>367</v>
      </c>
      <c r="AA202" t="s">
        <v>798</v>
      </c>
    </row>
    <row r="203" spans="3:27" x14ac:dyDescent="0.2">
      <c r="C203" t="s">
        <v>368</v>
      </c>
      <c r="D203">
        <v>47</v>
      </c>
      <c r="E203" t="s">
        <v>176</v>
      </c>
      <c r="F203">
        <v>600</v>
      </c>
      <c r="G203" t="s">
        <v>18</v>
      </c>
      <c r="H203" t="s">
        <v>95</v>
      </c>
      <c r="I203">
        <v>160</v>
      </c>
      <c r="J203" t="s">
        <v>20</v>
      </c>
      <c r="K203" t="s">
        <v>790</v>
      </c>
      <c r="R203" t="s">
        <v>21</v>
      </c>
      <c r="S203" t="s">
        <v>186</v>
      </c>
      <c r="W203" t="s">
        <v>369</v>
      </c>
      <c r="X203">
        <v>1999</v>
      </c>
      <c r="Y203" t="s">
        <v>370</v>
      </c>
      <c r="AA203" t="s">
        <v>798</v>
      </c>
    </row>
    <row r="204" spans="3:27" x14ac:dyDescent="0.2">
      <c r="C204" t="s">
        <v>368</v>
      </c>
      <c r="D204">
        <v>47</v>
      </c>
      <c r="E204" t="s">
        <v>176</v>
      </c>
      <c r="F204">
        <v>650</v>
      </c>
      <c r="G204" t="s">
        <v>18</v>
      </c>
      <c r="H204" t="s">
        <v>95</v>
      </c>
      <c r="I204">
        <v>160</v>
      </c>
      <c r="J204" t="s">
        <v>20</v>
      </c>
      <c r="K204" t="s">
        <v>790</v>
      </c>
      <c r="R204" t="s">
        <v>21</v>
      </c>
      <c r="S204" t="s">
        <v>186</v>
      </c>
      <c r="W204" t="s">
        <v>369</v>
      </c>
      <c r="X204">
        <v>1999</v>
      </c>
      <c r="Y204" t="s">
        <v>371</v>
      </c>
      <c r="AA204" t="s">
        <v>798</v>
      </c>
    </row>
    <row r="205" spans="3:27" x14ac:dyDescent="0.2">
      <c r="C205" t="s">
        <v>368</v>
      </c>
      <c r="D205">
        <v>47</v>
      </c>
      <c r="E205" t="s">
        <v>176</v>
      </c>
      <c r="F205">
        <v>700</v>
      </c>
      <c r="G205" t="s">
        <v>18</v>
      </c>
      <c r="H205" t="s">
        <v>95</v>
      </c>
      <c r="I205">
        <v>160</v>
      </c>
      <c r="J205" t="s">
        <v>20</v>
      </c>
      <c r="K205" t="s">
        <v>790</v>
      </c>
      <c r="R205" t="s">
        <v>21</v>
      </c>
      <c r="S205" t="s">
        <v>186</v>
      </c>
      <c r="W205" t="s">
        <v>369</v>
      </c>
      <c r="X205">
        <v>1999</v>
      </c>
      <c r="Y205" t="s">
        <v>372</v>
      </c>
      <c r="AA205" t="s">
        <v>798</v>
      </c>
    </row>
    <row r="206" spans="3:27" x14ac:dyDescent="0.2">
      <c r="C206" t="s">
        <v>368</v>
      </c>
      <c r="D206">
        <v>47</v>
      </c>
      <c r="E206" t="s">
        <v>176</v>
      </c>
      <c r="F206">
        <v>750</v>
      </c>
      <c r="G206" t="s">
        <v>18</v>
      </c>
      <c r="H206" t="s">
        <v>95</v>
      </c>
      <c r="I206">
        <v>160</v>
      </c>
      <c r="J206" t="s">
        <v>20</v>
      </c>
      <c r="K206" t="s">
        <v>790</v>
      </c>
      <c r="R206" t="s">
        <v>21</v>
      </c>
      <c r="S206" t="s">
        <v>186</v>
      </c>
      <c r="W206" t="s">
        <v>369</v>
      </c>
      <c r="X206">
        <v>1999</v>
      </c>
      <c r="Y206" t="s">
        <v>373</v>
      </c>
      <c r="AA206" t="s">
        <v>798</v>
      </c>
    </row>
    <row r="207" spans="3:27" x14ac:dyDescent="0.2">
      <c r="C207" t="s">
        <v>368</v>
      </c>
      <c r="D207">
        <v>47</v>
      </c>
      <c r="E207" t="s">
        <v>176</v>
      </c>
      <c r="F207">
        <v>775</v>
      </c>
      <c r="G207" t="s">
        <v>18</v>
      </c>
      <c r="H207" t="s">
        <v>95</v>
      </c>
      <c r="I207">
        <v>160</v>
      </c>
      <c r="J207" t="s">
        <v>20</v>
      </c>
      <c r="K207" t="s">
        <v>790</v>
      </c>
      <c r="R207" t="s">
        <v>21</v>
      </c>
      <c r="S207" t="s">
        <v>186</v>
      </c>
      <c r="W207" t="s">
        <v>369</v>
      </c>
      <c r="X207">
        <v>1999</v>
      </c>
      <c r="Y207" t="s">
        <v>374</v>
      </c>
      <c r="AA207" t="s">
        <v>798</v>
      </c>
    </row>
    <row r="208" spans="3:27" x14ac:dyDescent="0.2">
      <c r="C208" t="s">
        <v>368</v>
      </c>
      <c r="D208">
        <v>47</v>
      </c>
      <c r="E208" t="s">
        <v>176</v>
      </c>
      <c r="F208">
        <v>800</v>
      </c>
      <c r="G208" t="s">
        <v>18</v>
      </c>
      <c r="H208" t="s">
        <v>95</v>
      </c>
      <c r="I208">
        <v>160</v>
      </c>
      <c r="J208" t="s">
        <v>20</v>
      </c>
      <c r="K208" t="s">
        <v>790</v>
      </c>
      <c r="R208" t="s">
        <v>21</v>
      </c>
      <c r="S208" t="s">
        <v>186</v>
      </c>
      <c r="W208" t="s">
        <v>369</v>
      </c>
      <c r="X208">
        <v>1999</v>
      </c>
      <c r="Y208" t="s">
        <v>375</v>
      </c>
      <c r="AA208" t="s">
        <v>798</v>
      </c>
    </row>
    <row r="209" spans="3:30" x14ac:dyDescent="0.2">
      <c r="C209" t="s">
        <v>368</v>
      </c>
      <c r="D209">
        <v>47</v>
      </c>
      <c r="E209" t="s">
        <v>176</v>
      </c>
      <c r="F209">
        <v>825</v>
      </c>
      <c r="G209" t="s">
        <v>18</v>
      </c>
      <c r="H209" t="s">
        <v>95</v>
      </c>
      <c r="I209">
        <v>160</v>
      </c>
      <c r="J209" t="s">
        <v>20</v>
      </c>
      <c r="K209" t="s">
        <v>790</v>
      </c>
      <c r="R209" t="s">
        <v>21</v>
      </c>
      <c r="S209" t="s">
        <v>186</v>
      </c>
      <c r="W209" t="s">
        <v>369</v>
      </c>
      <c r="X209">
        <v>1999</v>
      </c>
      <c r="Y209" t="s">
        <v>376</v>
      </c>
      <c r="AA209" t="s">
        <v>798</v>
      </c>
    </row>
    <row r="210" spans="3:30" x14ac:dyDescent="0.2">
      <c r="C210" t="s">
        <v>368</v>
      </c>
      <c r="D210">
        <v>47</v>
      </c>
      <c r="E210" t="s">
        <v>176</v>
      </c>
      <c r="F210">
        <v>850</v>
      </c>
      <c r="G210" t="s">
        <v>18</v>
      </c>
      <c r="H210" t="s">
        <v>95</v>
      </c>
      <c r="I210">
        <v>160</v>
      </c>
      <c r="J210" t="s">
        <v>20</v>
      </c>
      <c r="K210" t="s">
        <v>790</v>
      </c>
      <c r="R210" t="s">
        <v>21</v>
      </c>
      <c r="S210" t="s">
        <v>186</v>
      </c>
      <c r="W210" t="s">
        <v>369</v>
      </c>
      <c r="X210">
        <v>1999</v>
      </c>
      <c r="Y210" t="s">
        <v>377</v>
      </c>
      <c r="AA210" t="s">
        <v>798</v>
      </c>
    </row>
    <row r="211" spans="3:30" x14ac:dyDescent="0.2">
      <c r="C211" t="s">
        <v>368</v>
      </c>
      <c r="D211">
        <v>47</v>
      </c>
      <c r="E211" t="s">
        <v>176</v>
      </c>
      <c r="F211">
        <v>875</v>
      </c>
      <c r="G211" t="s">
        <v>18</v>
      </c>
      <c r="H211" t="s">
        <v>95</v>
      </c>
      <c r="I211">
        <v>160</v>
      </c>
      <c r="J211" t="s">
        <v>20</v>
      </c>
      <c r="K211" t="s">
        <v>790</v>
      </c>
      <c r="R211" t="s">
        <v>21</v>
      </c>
      <c r="S211" t="s">
        <v>186</v>
      </c>
      <c r="W211" t="s">
        <v>369</v>
      </c>
      <c r="X211">
        <v>1999</v>
      </c>
      <c r="Y211" t="s">
        <v>378</v>
      </c>
      <c r="AA211" t="s">
        <v>798</v>
      </c>
    </row>
    <row r="212" spans="3:30" x14ac:dyDescent="0.2">
      <c r="C212" t="s">
        <v>368</v>
      </c>
      <c r="D212">
        <v>47</v>
      </c>
      <c r="E212" t="s">
        <v>176</v>
      </c>
      <c r="F212">
        <v>900</v>
      </c>
      <c r="G212" t="s">
        <v>18</v>
      </c>
      <c r="H212" t="s">
        <v>95</v>
      </c>
      <c r="I212">
        <v>160</v>
      </c>
      <c r="J212" t="s">
        <v>20</v>
      </c>
      <c r="K212" t="s">
        <v>790</v>
      </c>
      <c r="R212" t="s">
        <v>21</v>
      </c>
      <c r="S212" t="s">
        <v>186</v>
      </c>
      <c r="W212" t="s">
        <v>369</v>
      </c>
      <c r="X212">
        <v>1999</v>
      </c>
      <c r="Y212" t="s">
        <v>379</v>
      </c>
      <c r="AA212" t="s">
        <v>798</v>
      </c>
    </row>
    <row r="213" spans="3:30" x14ac:dyDescent="0.2">
      <c r="C213" t="s">
        <v>368</v>
      </c>
      <c r="D213">
        <v>47</v>
      </c>
      <c r="E213" t="s">
        <v>176</v>
      </c>
      <c r="F213">
        <v>950</v>
      </c>
      <c r="G213" t="s">
        <v>18</v>
      </c>
      <c r="H213" t="s">
        <v>95</v>
      </c>
      <c r="I213">
        <v>160</v>
      </c>
      <c r="J213" t="s">
        <v>20</v>
      </c>
      <c r="K213" t="s">
        <v>790</v>
      </c>
      <c r="R213" t="s">
        <v>21</v>
      </c>
      <c r="S213" t="s">
        <v>186</v>
      </c>
      <c r="W213" t="s">
        <v>369</v>
      </c>
      <c r="X213">
        <v>1999</v>
      </c>
      <c r="Y213" t="s">
        <v>380</v>
      </c>
      <c r="AA213" t="s">
        <v>798</v>
      </c>
    </row>
    <row r="214" spans="3:30" x14ac:dyDescent="0.2">
      <c r="C214" t="s">
        <v>368</v>
      </c>
      <c r="D214">
        <v>47</v>
      </c>
      <c r="E214" t="s">
        <v>176</v>
      </c>
      <c r="F214">
        <v>1000</v>
      </c>
      <c r="G214" t="s">
        <v>18</v>
      </c>
      <c r="H214" t="s">
        <v>95</v>
      </c>
      <c r="I214">
        <v>160</v>
      </c>
      <c r="J214" t="s">
        <v>20</v>
      </c>
      <c r="K214" t="s">
        <v>790</v>
      </c>
      <c r="R214" t="s">
        <v>21</v>
      </c>
      <c r="S214" t="s">
        <v>186</v>
      </c>
      <c r="W214" t="s">
        <v>369</v>
      </c>
      <c r="X214">
        <v>1999</v>
      </c>
      <c r="Y214" t="s">
        <v>381</v>
      </c>
      <c r="AA214" t="s">
        <v>798</v>
      </c>
    </row>
    <row r="215" spans="3:30" x14ac:dyDescent="0.2">
      <c r="C215" t="s">
        <v>382</v>
      </c>
      <c r="D215">
        <v>48</v>
      </c>
      <c r="E215" t="s">
        <v>176</v>
      </c>
      <c r="F215">
        <v>800</v>
      </c>
      <c r="G215" t="s">
        <v>18</v>
      </c>
      <c r="H215" t="s">
        <v>95</v>
      </c>
      <c r="I215">
        <v>160</v>
      </c>
      <c r="J215" t="s">
        <v>20</v>
      </c>
      <c r="K215" t="s">
        <v>790</v>
      </c>
      <c r="R215" t="s">
        <v>21</v>
      </c>
      <c r="S215" t="s">
        <v>383</v>
      </c>
      <c r="W215" t="s">
        <v>384</v>
      </c>
      <c r="X215">
        <v>2014</v>
      </c>
      <c r="Y215" t="s">
        <v>385</v>
      </c>
      <c r="AA215" t="s">
        <v>796</v>
      </c>
      <c r="AB215">
        <v>20</v>
      </c>
      <c r="AC215">
        <v>8</v>
      </c>
      <c r="AD215">
        <v>4</v>
      </c>
    </row>
    <row r="216" spans="3:30" x14ac:dyDescent="0.2">
      <c r="C216" t="s">
        <v>382</v>
      </c>
      <c r="D216">
        <v>48</v>
      </c>
      <c r="E216" t="s">
        <v>176</v>
      </c>
      <c r="F216">
        <v>900</v>
      </c>
      <c r="G216" t="s">
        <v>18</v>
      </c>
      <c r="H216" t="s">
        <v>95</v>
      </c>
      <c r="I216">
        <v>160</v>
      </c>
      <c r="J216" t="s">
        <v>20</v>
      </c>
      <c r="K216" t="s">
        <v>790</v>
      </c>
      <c r="R216" t="s">
        <v>21</v>
      </c>
      <c r="S216" t="s">
        <v>383</v>
      </c>
      <c r="W216" t="s">
        <v>384</v>
      </c>
      <c r="X216">
        <v>2014</v>
      </c>
      <c r="Y216" t="s">
        <v>386</v>
      </c>
      <c r="AA216" t="s">
        <v>796</v>
      </c>
      <c r="AB216">
        <v>20</v>
      </c>
      <c r="AC216">
        <v>8</v>
      </c>
      <c r="AD216">
        <v>4</v>
      </c>
    </row>
    <row r="217" spans="3:30" x14ac:dyDescent="0.2">
      <c r="C217" t="s">
        <v>382</v>
      </c>
      <c r="D217">
        <v>48</v>
      </c>
      <c r="E217" t="s">
        <v>176</v>
      </c>
      <c r="F217">
        <v>1000</v>
      </c>
      <c r="G217" t="s">
        <v>18</v>
      </c>
      <c r="H217" t="s">
        <v>95</v>
      </c>
      <c r="I217">
        <v>160</v>
      </c>
      <c r="J217" t="s">
        <v>20</v>
      </c>
      <c r="K217" t="s">
        <v>790</v>
      </c>
      <c r="R217" t="s">
        <v>21</v>
      </c>
      <c r="S217" t="s">
        <v>383</v>
      </c>
      <c r="W217" t="s">
        <v>384</v>
      </c>
      <c r="X217">
        <v>2014</v>
      </c>
      <c r="Y217" t="s">
        <v>387</v>
      </c>
      <c r="AA217" t="s">
        <v>796</v>
      </c>
      <c r="AB217">
        <v>20</v>
      </c>
      <c r="AC217">
        <v>8</v>
      </c>
      <c r="AD217">
        <v>4</v>
      </c>
    </row>
    <row r="218" spans="3:30" x14ac:dyDescent="0.2">
      <c r="C218" t="s">
        <v>388</v>
      </c>
      <c r="D218">
        <v>48</v>
      </c>
      <c r="E218" t="s">
        <v>176</v>
      </c>
      <c r="F218">
        <v>800</v>
      </c>
      <c r="G218" t="s">
        <v>18</v>
      </c>
      <c r="H218" t="s">
        <v>95</v>
      </c>
      <c r="I218">
        <v>160</v>
      </c>
      <c r="J218" t="s">
        <v>20</v>
      </c>
      <c r="K218" t="s">
        <v>790</v>
      </c>
      <c r="R218" t="s">
        <v>21</v>
      </c>
      <c r="S218" t="s">
        <v>383</v>
      </c>
      <c r="W218" t="s">
        <v>384</v>
      </c>
      <c r="X218">
        <v>2014</v>
      </c>
      <c r="Y218" t="s">
        <v>389</v>
      </c>
      <c r="AA218" t="s">
        <v>796</v>
      </c>
      <c r="AB218">
        <v>20</v>
      </c>
      <c r="AC218">
        <v>8</v>
      </c>
      <c r="AD218">
        <v>4</v>
      </c>
    </row>
    <row r="219" spans="3:30" x14ac:dyDescent="0.2">
      <c r="C219" t="s">
        <v>388</v>
      </c>
      <c r="D219">
        <v>48</v>
      </c>
      <c r="E219" t="s">
        <v>176</v>
      </c>
      <c r="F219">
        <v>900</v>
      </c>
      <c r="G219" t="s">
        <v>18</v>
      </c>
      <c r="H219" t="s">
        <v>95</v>
      </c>
      <c r="I219">
        <v>160</v>
      </c>
      <c r="J219" t="s">
        <v>20</v>
      </c>
      <c r="K219" t="s">
        <v>790</v>
      </c>
      <c r="R219" t="s">
        <v>21</v>
      </c>
      <c r="S219" t="s">
        <v>383</v>
      </c>
      <c r="W219" t="s">
        <v>384</v>
      </c>
      <c r="X219">
        <v>2014</v>
      </c>
      <c r="Y219" t="s">
        <v>390</v>
      </c>
      <c r="AA219" t="s">
        <v>796</v>
      </c>
      <c r="AB219">
        <v>20</v>
      </c>
      <c r="AC219">
        <v>8</v>
      </c>
      <c r="AD219">
        <v>4</v>
      </c>
    </row>
    <row r="220" spans="3:30" x14ac:dyDescent="0.2">
      <c r="C220" t="s">
        <v>388</v>
      </c>
      <c r="D220">
        <v>48</v>
      </c>
      <c r="E220" t="s">
        <v>176</v>
      </c>
      <c r="F220">
        <v>1000</v>
      </c>
      <c r="G220" t="s">
        <v>18</v>
      </c>
      <c r="H220" t="s">
        <v>95</v>
      </c>
      <c r="I220">
        <v>160</v>
      </c>
      <c r="J220" t="s">
        <v>20</v>
      </c>
      <c r="K220" t="s">
        <v>790</v>
      </c>
      <c r="R220" t="s">
        <v>21</v>
      </c>
      <c r="S220" t="s">
        <v>383</v>
      </c>
      <c r="W220" t="s">
        <v>384</v>
      </c>
      <c r="X220">
        <v>2014</v>
      </c>
      <c r="Y220" t="s">
        <v>391</v>
      </c>
      <c r="AA220" t="s">
        <v>796</v>
      </c>
      <c r="AB220">
        <v>20</v>
      </c>
      <c r="AC220">
        <v>8</v>
      </c>
      <c r="AD220">
        <v>4</v>
      </c>
    </row>
    <row r="221" spans="3:30" x14ac:dyDescent="0.2">
      <c r="C221" t="s">
        <v>392</v>
      </c>
      <c r="D221">
        <v>49</v>
      </c>
      <c r="E221" t="s">
        <v>17</v>
      </c>
      <c r="F221">
        <v>600</v>
      </c>
      <c r="G221" t="s">
        <v>393</v>
      </c>
      <c r="H221" t="s">
        <v>95</v>
      </c>
      <c r="I221">
        <v>760</v>
      </c>
      <c r="J221" t="s">
        <v>20</v>
      </c>
      <c r="K221" t="s">
        <v>790</v>
      </c>
      <c r="R221" t="s">
        <v>21</v>
      </c>
      <c r="S221" t="s">
        <v>163</v>
      </c>
      <c r="W221" t="s">
        <v>394</v>
      </c>
      <c r="X221">
        <v>1980</v>
      </c>
      <c r="Y221" t="s">
        <v>395</v>
      </c>
      <c r="AA221" t="s">
        <v>797</v>
      </c>
      <c r="AB221">
        <v>8.9499999999999993</v>
      </c>
      <c r="AC221">
        <v>8.9499999999999993</v>
      </c>
      <c r="AD221">
        <v>22</v>
      </c>
    </row>
    <row r="222" spans="3:30" x14ac:dyDescent="0.2">
      <c r="C222" t="s">
        <v>392</v>
      </c>
      <c r="D222">
        <v>49</v>
      </c>
      <c r="E222" t="s">
        <v>17</v>
      </c>
      <c r="F222">
        <v>700</v>
      </c>
      <c r="G222" t="s">
        <v>393</v>
      </c>
      <c r="H222" t="s">
        <v>95</v>
      </c>
      <c r="I222">
        <v>760</v>
      </c>
      <c r="J222" t="s">
        <v>20</v>
      </c>
      <c r="K222" t="s">
        <v>790</v>
      </c>
      <c r="R222" t="s">
        <v>21</v>
      </c>
      <c r="S222" t="s">
        <v>163</v>
      </c>
      <c r="W222" t="s">
        <v>394</v>
      </c>
      <c r="X222">
        <v>1980</v>
      </c>
      <c r="Y222" t="s">
        <v>396</v>
      </c>
      <c r="AA222" t="s">
        <v>797</v>
      </c>
      <c r="AB222">
        <v>8.9499999999999993</v>
      </c>
      <c r="AC222">
        <v>8.9499999999999993</v>
      </c>
      <c r="AD222">
        <v>22</v>
      </c>
    </row>
    <row r="223" spans="3:30" x14ac:dyDescent="0.2">
      <c r="C223" t="s">
        <v>392</v>
      </c>
      <c r="D223">
        <v>49</v>
      </c>
      <c r="E223" t="s">
        <v>17</v>
      </c>
      <c r="F223">
        <v>800</v>
      </c>
      <c r="G223" t="s">
        <v>393</v>
      </c>
      <c r="H223" t="s">
        <v>95</v>
      </c>
      <c r="I223">
        <v>760</v>
      </c>
      <c r="J223" t="s">
        <v>20</v>
      </c>
      <c r="K223" t="s">
        <v>790</v>
      </c>
      <c r="R223" t="s">
        <v>21</v>
      </c>
      <c r="S223" t="s">
        <v>163</v>
      </c>
      <c r="W223" t="s">
        <v>394</v>
      </c>
      <c r="X223">
        <v>1980</v>
      </c>
      <c r="Y223" t="s">
        <v>397</v>
      </c>
      <c r="AA223" t="s">
        <v>797</v>
      </c>
      <c r="AB223">
        <v>8.9499999999999993</v>
      </c>
      <c r="AC223">
        <v>8.9499999999999993</v>
      </c>
      <c r="AD223">
        <v>22</v>
      </c>
    </row>
    <row r="224" spans="3:30" x14ac:dyDescent="0.2">
      <c r="C224" t="s">
        <v>392</v>
      </c>
      <c r="D224">
        <v>49</v>
      </c>
      <c r="E224" t="s">
        <v>17</v>
      </c>
      <c r="F224">
        <v>900</v>
      </c>
      <c r="G224" t="s">
        <v>393</v>
      </c>
      <c r="H224" t="s">
        <v>95</v>
      </c>
      <c r="I224">
        <v>760</v>
      </c>
      <c r="J224" t="s">
        <v>20</v>
      </c>
      <c r="K224" t="s">
        <v>790</v>
      </c>
      <c r="R224" t="s">
        <v>21</v>
      </c>
      <c r="S224" t="s">
        <v>163</v>
      </c>
      <c r="W224" t="s">
        <v>394</v>
      </c>
      <c r="X224">
        <v>1980</v>
      </c>
      <c r="Y224" t="s">
        <v>398</v>
      </c>
      <c r="AA224" t="s">
        <v>797</v>
      </c>
      <c r="AB224">
        <v>8.9499999999999993</v>
      </c>
      <c r="AC224">
        <v>8.9499999999999993</v>
      </c>
      <c r="AD224">
        <v>22</v>
      </c>
    </row>
    <row r="225" spans="3:30" x14ac:dyDescent="0.2">
      <c r="C225" t="s">
        <v>399</v>
      </c>
      <c r="D225">
        <v>49</v>
      </c>
      <c r="E225" t="s">
        <v>17</v>
      </c>
      <c r="F225">
        <v>600</v>
      </c>
      <c r="G225" t="s">
        <v>393</v>
      </c>
      <c r="H225" t="s">
        <v>95</v>
      </c>
      <c r="I225">
        <v>760</v>
      </c>
      <c r="J225" t="s">
        <v>20</v>
      </c>
      <c r="K225" t="s">
        <v>790</v>
      </c>
      <c r="R225" t="s">
        <v>21</v>
      </c>
      <c r="S225" t="s">
        <v>163</v>
      </c>
      <c r="W225" t="s">
        <v>394</v>
      </c>
      <c r="X225">
        <v>1980</v>
      </c>
      <c r="Y225" t="s">
        <v>400</v>
      </c>
      <c r="AA225" t="s">
        <v>797</v>
      </c>
      <c r="AB225">
        <v>8.9499999999999993</v>
      </c>
      <c r="AC225">
        <v>8.9499999999999993</v>
      </c>
      <c r="AD225">
        <v>22</v>
      </c>
    </row>
    <row r="226" spans="3:30" x14ac:dyDescent="0.2">
      <c r="C226" t="s">
        <v>399</v>
      </c>
      <c r="D226">
        <v>49</v>
      </c>
      <c r="E226" t="s">
        <v>17</v>
      </c>
      <c r="F226">
        <v>700</v>
      </c>
      <c r="G226" t="s">
        <v>393</v>
      </c>
      <c r="H226" t="s">
        <v>95</v>
      </c>
      <c r="I226">
        <v>760</v>
      </c>
      <c r="J226" t="s">
        <v>20</v>
      </c>
      <c r="K226" t="s">
        <v>790</v>
      </c>
      <c r="R226" t="s">
        <v>21</v>
      </c>
      <c r="S226" t="s">
        <v>163</v>
      </c>
      <c r="W226" t="s">
        <v>394</v>
      </c>
      <c r="X226">
        <v>1980</v>
      </c>
      <c r="Y226" t="s">
        <v>401</v>
      </c>
      <c r="AA226" t="s">
        <v>797</v>
      </c>
      <c r="AB226">
        <v>8.9499999999999993</v>
      </c>
      <c r="AC226">
        <v>8.9499999999999993</v>
      </c>
      <c r="AD226">
        <v>22</v>
      </c>
    </row>
    <row r="227" spans="3:30" x14ac:dyDescent="0.2">
      <c r="C227" t="s">
        <v>399</v>
      </c>
      <c r="D227">
        <v>49</v>
      </c>
      <c r="E227" t="s">
        <v>17</v>
      </c>
      <c r="F227">
        <v>800</v>
      </c>
      <c r="G227" t="s">
        <v>393</v>
      </c>
      <c r="H227" t="s">
        <v>95</v>
      </c>
      <c r="I227">
        <v>760</v>
      </c>
      <c r="J227" t="s">
        <v>20</v>
      </c>
      <c r="K227" t="s">
        <v>790</v>
      </c>
      <c r="R227" t="s">
        <v>21</v>
      </c>
      <c r="S227" t="s">
        <v>163</v>
      </c>
      <c r="W227" t="s">
        <v>394</v>
      </c>
      <c r="X227">
        <v>1980</v>
      </c>
      <c r="Y227" t="s">
        <v>402</v>
      </c>
      <c r="AA227" t="s">
        <v>797</v>
      </c>
      <c r="AB227">
        <v>8.9499999999999993</v>
      </c>
      <c r="AC227">
        <v>8.9499999999999993</v>
      </c>
      <c r="AD227">
        <v>22</v>
      </c>
    </row>
    <row r="228" spans="3:30" x14ac:dyDescent="0.2">
      <c r="C228" t="s">
        <v>399</v>
      </c>
      <c r="D228">
        <v>49</v>
      </c>
      <c r="E228" t="s">
        <v>17</v>
      </c>
      <c r="F228">
        <v>900</v>
      </c>
      <c r="G228" t="s">
        <v>393</v>
      </c>
      <c r="H228" t="s">
        <v>95</v>
      </c>
      <c r="I228">
        <v>760</v>
      </c>
      <c r="J228" t="s">
        <v>20</v>
      </c>
      <c r="K228" t="s">
        <v>790</v>
      </c>
      <c r="R228" t="s">
        <v>21</v>
      </c>
      <c r="S228" t="s">
        <v>163</v>
      </c>
      <c r="W228" t="s">
        <v>394</v>
      </c>
      <c r="X228">
        <v>1980</v>
      </c>
      <c r="Y228" t="s">
        <v>403</v>
      </c>
      <c r="AA228" t="s">
        <v>797</v>
      </c>
      <c r="AB228">
        <v>8.9499999999999993</v>
      </c>
      <c r="AC228">
        <v>8.9499999999999993</v>
      </c>
      <c r="AD228">
        <v>22</v>
      </c>
    </row>
    <row r="229" spans="3:30" x14ac:dyDescent="0.2">
      <c r="C229" t="s">
        <v>404</v>
      </c>
      <c r="D229">
        <v>49</v>
      </c>
      <c r="E229" t="s">
        <v>17</v>
      </c>
      <c r="F229">
        <v>600</v>
      </c>
      <c r="G229" t="s">
        <v>393</v>
      </c>
      <c r="H229" t="s">
        <v>95</v>
      </c>
      <c r="I229">
        <v>760</v>
      </c>
      <c r="J229" t="s">
        <v>20</v>
      </c>
      <c r="K229" t="s">
        <v>790</v>
      </c>
      <c r="R229" t="s">
        <v>21</v>
      </c>
      <c r="S229" t="s">
        <v>163</v>
      </c>
      <c r="W229" t="s">
        <v>394</v>
      </c>
      <c r="X229">
        <v>1980</v>
      </c>
      <c r="Y229" t="s">
        <v>405</v>
      </c>
      <c r="AA229" t="s">
        <v>797</v>
      </c>
      <c r="AB229">
        <v>8.9499999999999993</v>
      </c>
      <c r="AC229">
        <v>8.9499999999999993</v>
      </c>
      <c r="AD229">
        <v>22</v>
      </c>
    </row>
    <row r="230" spans="3:30" x14ac:dyDescent="0.2">
      <c r="C230" t="s">
        <v>404</v>
      </c>
      <c r="D230">
        <v>49</v>
      </c>
      <c r="E230" t="s">
        <v>17</v>
      </c>
      <c r="F230">
        <v>700</v>
      </c>
      <c r="G230" t="s">
        <v>393</v>
      </c>
      <c r="H230" t="s">
        <v>95</v>
      </c>
      <c r="I230">
        <v>760</v>
      </c>
      <c r="J230" t="s">
        <v>20</v>
      </c>
      <c r="K230" t="s">
        <v>790</v>
      </c>
      <c r="R230" t="s">
        <v>21</v>
      </c>
      <c r="S230" t="s">
        <v>163</v>
      </c>
      <c r="W230" t="s">
        <v>394</v>
      </c>
      <c r="X230">
        <v>1980</v>
      </c>
      <c r="Y230" t="s">
        <v>406</v>
      </c>
      <c r="AA230" t="s">
        <v>797</v>
      </c>
      <c r="AB230">
        <v>8.9499999999999993</v>
      </c>
      <c r="AC230">
        <v>8.9499999999999993</v>
      </c>
      <c r="AD230">
        <v>22</v>
      </c>
    </row>
    <row r="231" spans="3:30" x14ac:dyDescent="0.2">
      <c r="C231" t="s">
        <v>404</v>
      </c>
      <c r="D231">
        <v>49</v>
      </c>
      <c r="E231" t="s">
        <v>17</v>
      </c>
      <c r="F231">
        <v>800</v>
      </c>
      <c r="G231" t="s">
        <v>393</v>
      </c>
      <c r="H231" t="s">
        <v>95</v>
      </c>
      <c r="I231">
        <v>760</v>
      </c>
      <c r="J231" t="s">
        <v>20</v>
      </c>
      <c r="K231" t="s">
        <v>790</v>
      </c>
      <c r="R231" t="s">
        <v>21</v>
      </c>
      <c r="S231" t="s">
        <v>163</v>
      </c>
      <c r="W231" t="s">
        <v>394</v>
      </c>
      <c r="X231">
        <v>1980</v>
      </c>
      <c r="Y231" t="s">
        <v>407</v>
      </c>
      <c r="AA231" t="s">
        <v>797</v>
      </c>
      <c r="AB231">
        <v>8.9499999999999993</v>
      </c>
      <c r="AC231">
        <v>8.9499999999999993</v>
      </c>
      <c r="AD231">
        <v>22</v>
      </c>
    </row>
    <row r="232" spans="3:30" x14ac:dyDescent="0.2">
      <c r="C232" t="s">
        <v>404</v>
      </c>
      <c r="D232">
        <v>49</v>
      </c>
      <c r="E232" t="s">
        <v>17</v>
      </c>
      <c r="F232">
        <v>900</v>
      </c>
      <c r="G232" t="s">
        <v>393</v>
      </c>
      <c r="H232" t="s">
        <v>95</v>
      </c>
      <c r="I232">
        <v>760</v>
      </c>
      <c r="J232" t="s">
        <v>20</v>
      </c>
      <c r="K232" t="s">
        <v>790</v>
      </c>
      <c r="R232" t="s">
        <v>21</v>
      </c>
      <c r="S232" t="s">
        <v>163</v>
      </c>
      <c r="W232" t="s">
        <v>394</v>
      </c>
      <c r="X232">
        <v>1980</v>
      </c>
      <c r="Y232" t="s">
        <v>408</v>
      </c>
      <c r="AA232" t="s">
        <v>797</v>
      </c>
      <c r="AB232">
        <v>8.9499999999999993</v>
      </c>
      <c r="AC232">
        <v>8.9499999999999993</v>
      </c>
      <c r="AD232">
        <v>22</v>
      </c>
    </row>
    <row r="233" spans="3:30" x14ac:dyDescent="0.2">
      <c r="C233" t="s">
        <v>409</v>
      </c>
      <c r="D233">
        <v>50</v>
      </c>
      <c r="E233" t="s">
        <v>17</v>
      </c>
      <c r="F233">
        <v>950</v>
      </c>
      <c r="G233" t="s">
        <v>18</v>
      </c>
      <c r="H233" t="s">
        <v>95</v>
      </c>
      <c r="I233">
        <v>750</v>
      </c>
      <c r="J233" t="s">
        <v>38</v>
      </c>
      <c r="K233" t="s">
        <v>790</v>
      </c>
      <c r="R233" t="s">
        <v>21</v>
      </c>
      <c r="S233" t="s">
        <v>410</v>
      </c>
      <c r="W233" t="s">
        <v>411</v>
      </c>
      <c r="X233">
        <v>1971</v>
      </c>
      <c r="Y233" t="s">
        <v>412</v>
      </c>
      <c r="AA233" t="s">
        <v>796</v>
      </c>
      <c r="AB233">
        <v>10</v>
      </c>
      <c r="AC233">
        <v>10</v>
      </c>
      <c r="AD233">
        <v>1</v>
      </c>
    </row>
    <row r="234" spans="3:30" x14ac:dyDescent="0.2">
      <c r="C234" t="s">
        <v>413</v>
      </c>
      <c r="D234">
        <v>50</v>
      </c>
      <c r="E234" t="s">
        <v>17</v>
      </c>
      <c r="F234">
        <v>950</v>
      </c>
      <c r="G234" t="s">
        <v>18</v>
      </c>
      <c r="H234" t="s">
        <v>95</v>
      </c>
      <c r="I234">
        <v>750</v>
      </c>
      <c r="J234" t="s">
        <v>38</v>
      </c>
      <c r="K234" t="s">
        <v>790</v>
      </c>
      <c r="R234" t="s">
        <v>21</v>
      </c>
      <c r="S234" t="s">
        <v>410</v>
      </c>
      <c r="W234" t="s">
        <v>411</v>
      </c>
      <c r="X234">
        <v>1971</v>
      </c>
      <c r="Y234" t="s">
        <v>414</v>
      </c>
      <c r="AA234" t="s">
        <v>796</v>
      </c>
      <c r="AB234">
        <v>10</v>
      </c>
      <c r="AC234">
        <v>10</v>
      </c>
      <c r="AD234">
        <v>1</v>
      </c>
    </row>
    <row r="235" spans="3:30" x14ac:dyDescent="0.2">
      <c r="C235" t="s">
        <v>415</v>
      </c>
      <c r="D235">
        <v>50</v>
      </c>
      <c r="E235" t="s">
        <v>17</v>
      </c>
      <c r="F235">
        <v>950</v>
      </c>
      <c r="G235" t="s">
        <v>18</v>
      </c>
      <c r="H235" t="s">
        <v>95</v>
      </c>
      <c r="I235">
        <v>750</v>
      </c>
      <c r="J235" t="s">
        <v>38</v>
      </c>
      <c r="K235" t="s">
        <v>790</v>
      </c>
      <c r="R235" t="s">
        <v>21</v>
      </c>
      <c r="S235" t="s">
        <v>410</v>
      </c>
      <c r="W235" t="s">
        <v>411</v>
      </c>
      <c r="X235">
        <v>1971</v>
      </c>
      <c r="Y235" t="s">
        <v>416</v>
      </c>
      <c r="AA235" t="s">
        <v>796</v>
      </c>
      <c r="AB235">
        <v>10</v>
      </c>
      <c r="AC235">
        <v>10</v>
      </c>
      <c r="AD235">
        <v>1</v>
      </c>
    </row>
    <row r="236" spans="3:30" x14ac:dyDescent="0.2">
      <c r="C236" t="s">
        <v>417</v>
      </c>
      <c r="D236">
        <v>52</v>
      </c>
      <c r="E236" t="s">
        <v>176</v>
      </c>
      <c r="F236">
        <v>1000</v>
      </c>
      <c r="G236" t="s">
        <v>18</v>
      </c>
      <c r="H236" t="s">
        <v>95</v>
      </c>
      <c r="I236">
        <v>100</v>
      </c>
      <c r="J236" t="s">
        <v>38</v>
      </c>
      <c r="K236" t="s">
        <v>790</v>
      </c>
      <c r="R236" t="s">
        <v>21</v>
      </c>
      <c r="S236" t="s">
        <v>418</v>
      </c>
      <c r="W236" t="s">
        <v>419</v>
      </c>
      <c r="X236">
        <v>1980</v>
      </c>
      <c r="Y236" t="s">
        <v>420</v>
      </c>
      <c r="AA236" t="s">
        <v>796</v>
      </c>
      <c r="AB236">
        <v>10</v>
      </c>
      <c r="AC236">
        <v>10</v>
      </c>
      <c r="AD236">
        <v>1.5</v>
      </c>
    </row>
    <row r="237" spans="3:30" x14ac:dyDescent="0.2">
      <c r="C237" t="s">
        <v>417</v>
      </c>
      <c r="D237">
        <v>52</v>
      </c>
      <c r="E237" t="s">
        <v>176</v>
      </c>
      <c r="F237">
        <v>1000</v>
      </c>
      <c r="G237" t="s">
        <v>18</v>
      </c>
      <c r="H237" t="s">
        <v>95</v>
      </c>
      <c r="I237">
        <v>400</v>
      </c>
      <c r="J237" t="s">
        <v>38</v>
      </c>
      <c r="K237" t="s">
        <v>790</v>
      </c>
      <c r="N237">
        <v>44.42</v>
      </c>
      <c r="R237" t="s">
        <v>21</v>
      </c>
      <c r="S237" t="s">
        <v>418</v>
      </c>
      <c r="W237" t="s">
        <v>419</v>
      </c>
      <c r="X237">
        <v>1980</v>
      </c>
      <c r="Y237" t="s">
        <v>421</v>
      </c>
      <c r="AA237" t="s">
        <v>796</v>
      </c>
      <c r="AB237">
        <v>10</v>
      </c>
      <c r="AC237">
        <v>10</v>
      </c>
      <c r="AD237">
        <v>1.5</v>
      </c>
    </row>
    <row r="238" spans="3:30" x14ac:dyDescent="0.2">
      <c r="C238" t="s">
        <v>417</v>
      </c>
      <c r="D238">
        <v>52</v>
      </c>
      <c r="E238" t="s">
        <v>176</v>
      </c>
      <c r="F238">
        <v>1000</v>
      </c>
      <c r="G238" t="s">
        <v>18</v>
      </c>
      <c r="H238" t="s">
        <v>95</v>
      </c>
      <c r="I238">
        <v>760</v>
      </c>
      <c r="J238" t="s">
        <v>38</v>
      </c>
      <c r="K238" t="s">
        <v>790</v>
      </c>
      <c r="N238">
        <v>35</v>
      </c>
      <c r="R238" t="s">
        <v>21</v>
      </c>
      <c r="S238" t="s">
        <v>418</v>
      </c>
      <c r="W238" t="s">
        <v>419</v>
      </c>
      <c r="X238">
        <v>1980</v>
      </c>
      <c r="Y238" t="s">
        <v>422</v>
      </c>
      <c r="AA238" t="s">
        <v>796</v>
      </c>
      <c r="AB238">
        <v>10</v>
      </c>
      <c r="AC238">
        <v>10</v>
      </c>
      <c r="AD238">
        <v>1.5</v>
      </c>
    </row>
    <row r="239" spans="3:30" x14ac:dyDescent="0.2">
      <c r="C239" t="s">
        <v>417</v>
      </c>
      <c r="D239">
        <v>52</v>
      </c>
      <c r="E239" t="s">
        <v>176</v>
      </c>
      <c r="F239">
        <v>1100</v>
      </c>
      <c r="G239" t="s">
        <v>18</v>
      </c>
      <c r="H239" t="s">
        <v>95</v>
      </c>
      <c r="I239">
        <v>100</v>
      </c>
      <c r="J239" t="s">
        <v>38</v>
      </c>
      <c r="K239" t="s">
        <v>790</v>
      </c>
      <c r="R239" t="s">
        <v>21</v>
      </c>
      <c r="S239" t="s">
        <v>418</v>
      </c>
      <c r="W239" t="s">
        <v>419</v>
      </c>
      <c r="X239">
        <v>1980</v>
      </c>
      <c r="Y239" t="s">
        <v>423</v>
      </c>
      <c r="AA239" t="s">
        <v>796</v>
      </c>
      <c r="AB239">
        <v>10</v>
      </c>
      <c r="AC239">
        <v>10</v>
      </c>
      <c r="AD239">
        <v>1.5</v>
      </c>
    </row>
    <row r="240" spans="3:30" x14ac:dyDescent="0.2">
      <c r="C240" t="s">
        <v>417</v>
      </c>
      <c r="D240">
        <v>52</v>
      </c>
      <c r="E240" t="s">
        <v>176</v>
      </c>
      <c r="F240">
        <v>1100</v>
      </c>
      <c r="G240" t="s">
        <v>18</v>
      </c>
      <c r="H240" t="s">
        <v>95</v>
      </c>
      <c r="I240">
        <v>400</v>
      </c>
      <c r="J240" t="s">
        <v>38</v>
      </c>
      <c r="K240" t="s">
        <v>790</v>
      </c>
      <c r="N240">
        <v>59.8</v>
      </c>
      <c r="R240" t="s">
        <v>21</v>
      </c>
      <c r="S240" t="s">
        <v>418</v>
      </c>
      <c r="W240" t="s">
        <v>419</v>
      </c>
      <c r="X240">
        <v>1980</v>
      </c>
      <c r="Y240" t="s">
        <v>424</v>
      </c>
      <c r="AA240" t="s">
        <v>796</v>
      </c>
      <c r="AB240">
        <v>10</v>
      </c>
      <c r="AC240">
        <v>10</v>
      </c>
      <c r="AD240">
        <v>1.5</v>
      </c>
    </row>
    <row r="241" spans="3:30" x14ac:dyDescent="0.2">
      <c r="C241" t="s">
        <v>417</v>
      </c>
      <c r="D241">
        <v>52</v>
      </c>
      <c r="E241" t="s">
        <v>176</v>
      </c>
      <c r="F241">
        <v>1100</v>
      </c>
      <c r="G241" t="s">
        <v>18</v>
      </c>
      <c r="H241" t="s">
        <v>95</v>
      </c>
      <c r="I241">
        <v>760</v>
      </c>
      <c r="J241" t="s">
        <v>38</v>
      </c>
      <c r="K241" t="s">
        <v>790</v>
      </c>
      <c r="N241">
        <v>42.9</v>
      </c>
      <c r="R241" t="s">
        <v>21</v>
      </c>
      <c r="S241" t="s">
        <v>418</v>
      </c>
      <c r="W241" t="s">
        <v>419</v>
      </c>
      <c r="X241">
        <v>1980</v>
      </c>
      <c r="Y241" t="s">
        <v>425</v>
      </c>
      <c r="AA241" t="s">
        <v>796</v>
      </c>
      <c r="AB241">
        <v>10</v>
      </c>
      <c r="AC241">
        <v>10</v>
      </c>
      <c r="AD241">
        <v>1.5</v>
      </c>
    </row>
    <row r="242" spans="3:30" x14ac:dyDescent="0.2">
      <c r="C242" t="s">
        <v>417</v>
      </c>
      <c r="D242">
        <v>52</v>
      </c>
      <c r="E242" t="s">
        <v>176</v>
      </c>
      <c r="F242">
        <v>1150</v>
      </c>
      <c r="G242" t="s">
        <v>18</v>
      </c>
      <c r="H242" t="s">
        <v>95</v>
      </c>
      <c r="I242">
        <v>100</v>
      </c>
      <c r="J242" t="s">
        <v>38</v>
      </c>
      <c r="K242" t="s">
        <v>790</v>
      </c>
      <c r="R242" t="s">
        <v>21</v>
      </c>
      <c r="S242" t="s">
        <v>418</v>
      </c>
      <c r="W242" t="s">
        <v>419</v>
      </c>
      <c r="X242">
        <v>1980</v>
      </c>
      <c r="Y242" t="s">
        <v>426</v>
      </c>
      <c r="AA242" t="s">
        <v>796</v>
      </c>
      <c r="AB242">
        <v>10</v>
      </c>
      <c r="AC242">
        <v>10</v>
      </c>
      <c r="AD242">
        <v>1.5</v>
      </c>
    </row>
    <row r="243" spans="3:30" x14ac:dyDescent="0.2">
      <c r="C243" t="s">
        <v>417</v>
      </c>
      <c r="D243">
        <v>52</v>
      </c>
      <c r="E243" t="s">
        <v>176</v>
      </c>
      <c r="F243">
        <v>1150</v>
      </c>
      <c r="G243" t="s">
        <v>18</v>
      </c>
      <c r="H243" t="s">
        <v>95</v>
      </c>
      <c r="I243">
        <v>400</v>
      </c>
      <c r="J243" t="s">
        <v>38</v>
      </c>
      <c r="K243" t="s">
        <v>790</v>
      </c>
      <c r="N243">
        <v>60.8</v>
      </c>
      <c r="R243" t="s">
        <v>21</v>
      </c>
      <c r="S243" t="s">
        <v>418</v>
      </c>
      <c r="W243" t="s">
        <v>419</v>
      </c>
      <c r="X243">
        <v>1980</v>
      </c>
      <c r="Y243" t="s">
        <v>427</v>
      </c>
      <c r="AA243" t="s">
        <v>796</v>
      </c>
      <c r="AB243">
        <v>10</v>
      </c>
      <c r="AC243">
        <v>10</v>
      </c>
      <c r="AD243">
        <v>1.5</v>
      </c>
    </row>
    <row r="244" spans="3:30" x14ac:dyDescent="0.2">
      <c r="C244" t="s">
        <v>417</v>
      </c>
      <c r="D244">
        <v>52</v>
      </c>
      <c r="E244" t="s">
        <v>176</v>
      </c>
      <c r="F244">
        <v>1150</v>
      </c>
      <c r="G244" t="s">
        <v>18</v>
      </c>
      <c r="H244" t="s">
        <v>95</v>
      </c>
      <c r="I244">
        <v>760</v>
      </c>
      <c r="J244" t="s">
        <v>38</v>
      </c>
      <c r="K244" t="s">
        <v>790</v>
      </c>
      <c r="N244">
        <v>36.4</v>
      </c>
      <c r="R244" t="s">
        <v>21</v>
      </c>
      <c r="S244" t="s">
        <v>418</v>
      </c>
      <c r="W244" s="2" t="s">
        <v>419</v>
      </c>
      <c r="X244">
        <v>1980</v>
      </c>
      <c r="Y244" t="s">
        <v>428</v>
      </c>
      <c r="AA244" t="s">
        <v>796</v>
      </c>
      <c r="AB244">
        <v>10</v>
      </c>
      <c r="AC244">
        <v>10</v>
      </c>
      <c r="AD244">
        <v>1.5</v>
      </c>
    </row>
    <row r="245" spans="3:30" x14ac:dyDescent="0.2">
      <c r="C245" t="s">
        <v>417</v>
      </c>
      <c r="D245">
        <v>52</v>
      </c>
      <c r="E245" t="s">
        <v>176</v>
      </c>
      <c r="F245">
        <v>1200</v>
      </c>
      <c r="G245" t="s">
        <v>18</v>
      </c>
      <c r="H245" t="s">
        <v>95</v>
      </c>
      <c r="I245">
        <v>100</v>
      </c>
      <c r="J245" t="s">
        <v>38</v>
      </c>
      <c r="K245" t="s">
        <v>790</v>
      </c>
      <c r="R245" t="s">
        <v>21</v>
      </c>
      <c r="S245" t="s">
        <v>418</v>
      </c>
      <c r="W245" t="s">
        <v>419</v>
      </c>
      <c r="X245">
        <v>1980</v>
      </c>
      <c r="Y245" t="s">
        <v>429</v>
      </c>
      <c r="AA245" t="s">
        <v>796</v>
      </c>
      <c r="AB245">
        <v>10</v>
      </c>
      <c r="AC245">
        <v>10</v>
      </c>
      <c r="AD245">
        <v>1.5</v>
      </c>
    </row>
    <row r="246" spans="3:30" x14ac:dyDescent="0.2">
      <c r="C246" t="s">
        <v>417</v>
      </c>
      <c r="D246">
        <v>52</v>
      </c>
      <c r="E246" t="s">
        <v>176</v>
      </c>
      <c r="F246">
        <v>1200</v>
      </c>
      <c r="G246" t="s">
        <v>18</v>
      </c>
      <c r="H246" t="s">
        <v>95</v>
      </c>
      <c r="I246">
        <v>400</v>
      </c>
      <c r="J246" t="s">
        <v>38</v>
      </c>
      <c r="K246" t="s">
        <v>790</v>
      </c>
      <c r="R246" t="s">
        <v>21</v>
      </c>
      <c r="S246" t="s">
        <v>418</v>
      </c>
      <c r="W246" t="s">
        <v>419</v>
      </c>
      <c r="X246">
        <v>1980</v>
      </c>
      <c r="Y246" t="s">
        <v>430</v>
      </c>
      <c r="AA246" t="s">
        <v>796</v>
      </c>
      <c r="AB246">
        <v>10</v>
      </c>
      <c r="AC246">
        <v>10</v>
      </c>
      <c r="AD246">
        <v>1.5</v>
      </c>
    </row>
    <row r="247" spans="3:30" x14ac:dyDescent="0.2">
      <c r="C247" t="s">
        <v>417</v>
      </c>
      <c r="D247">
        <v>52</v>
      </c>
      <c r="E247" t="s">
        <v>176</v>
      </c>
      <c r="F247">
        <v>1200</v>
      </c>
      <c r="G247" t="s">
        <v>18</v>
      </c>
      <c r="H247" t="s">
        <v>95</v>
      </c>
      <c r="I247">
        <v>760</v>
      </c>
      <c r="J247" t="s">
        <v>38</v>
      </c>
      <c r="K247" t="s">
        <v>790</v>
      </c>
      <c r="N247">
        <v>51.4</v>
      </c>
      <c r="R247" t="s">
        <v>21</v>
      </c>
      <c r="S247" t="s">
        <v>418</v>
      </c>
      <c r="W247" t="s">
        <v>419</v>
      </c>
      <c r="X247">
        <v>1980</v>
      </c>
      <c r="Y247" t="s">
        <v>431</v>
      </c>
      <c r="AA247" t="s">
        <v>796</v>
      </c>
      <c r="AB247">
        <v>10</v>
      </c>
      <c r="AC247">
        <v>10</v>
      </c>
      <c r="AD247">
        <v>1.5</v>
      </c>
    </row>
    <row r="248" spans="3:30" x14ac:dyDescent="0.2">
      <c r="C248" t="s">
        <v>432</v>
      </c>
      <c r="D248">
        <v>53</v>
      </c>
      <c r="E248" t="s">
        <v>17</v>
      </c>
      <c r="F248">
        <v>700</v>
      </c>
      <c r="G248" t="s">
        <v>18</v>
      </c>
      <c r="H248" t="s">
        <v>95</v>
      </c>
      <c r="I248">
        <v>160</v>
      </c>
      <c r="J248" t="s">
        <v>20</v>
      </c>
      <c r="K248" t="s">
        <v>790</v>
      </c>
      <c r="R248" t="s">
        <v>21</v>
      </c>
      <c r="S248" t="s">
        <v>433</v>
      </c>
      <c r="W248" t="s">
        <v>434</v>
      </c>
      <c r="X248">
        <v>1991</v>
      </c>
      <c r="Y248" t="s">
        <v>435</v>
      </c>
      <c r="AA248" t="s">
        <v>798</v>
      </c>
    </row>
    <row r="249" spans="3:30" x14ac:dyDescent="0.2">
      <c r="C249" t="s">
        <v>432</v>
      </c>
      <c r="D249">
        <v>53</v>
      </c>
      <c r="E249" t="s">
        <v>17</v>
      </c>
      <c r="F249">
        <v>800</v>
      </c>
      <c r="G249" t="s">
        <v>18</v>
      </c>
      <c r="H249" t="s">
        <v>95</v>
      </c>
      <c r="I249">
        <v>160</v>
      </c>
      <c r="J249" t="s">
        <v>20</v>
      </c>
      <c r="K249" t="s">
        <v>790</v>
      </c>
      <c r="R249" t="s">
        <v>21</v>
      </c>
      <c r="S249" t="s">
        <v>433</v>
      </c>
      <c r="W249" t="s">
        <v>434</v>
      </c>
      <c r="X249">
        <v>1991</v>
      </c>
      <c r="Y249" t="s">
        <v>436</v>
      </c>
      <c r="AA249" t="s">
        <v>798</v>
      </c>
    </row>
    <row r="250" spans="3:30" x14ac:dyDescent="0.2">
      <c r="C250" t="s">
        <v>432</v>
      </c>
      <c r="D250">
        <v>53</v>
      </c>
      <c r="E250" t="s">
        <v>17</v>
      </c>
      <c r="F250">
        <v>900</v>
      </c>
      <c r="G250" t="s">
        <v>18</v>
      </c>
      <c r="H250" t="s">
        <v>95</v>
      </c>
      <c r="I250">
        <v>160</v>
      </c>
      <c r="J250" t="s">
        <v>20</v>
      </c>
      <c r="K250" t="s">
        <v>790</v>
      </c>
      <c r="R250" t="s">
        <v>21</v>
      </c>
      <c r="S250" t="s">
        <v>433</v>
      </c>
      <c r="W250" t="s">
        <v>434</v>
      </c>
      <c r="X250">
        <v>1991</v>
      </c>
      <c r="Y250" t="s">
        <v>437</v>
      </c>
      <c r="AA250" t="s">
        <v>798</v>
      </c>
    </row>
    <row r="251" spans="3:30" x14ac:dyDescent="0.2">
      <c r="C251" t="s">
        <v>432</v>
      </c>
      <c r="D251">
        <v>53</v>
      </c>
      <c r="E251" t="s">
        <v>17</v>
      </c>
      <c r="F251">
        <v>1000</v>
      </c>
      <c r="G251" t="s">
        <v>18</v>
      </c>
      <c r="H251" t="s">
        <v>95</v>
      </c>
      <c r="I251">
        <v>160</v>
      </c>
      <c r="J251" t="s">
        <v>20</v>
      </c>
      <c r="K251" t="s">
        <v>790</v>
      </c>
      <c r="R251" t="s">
        <v>21</v>
      </c>
      <c r="S251" t="s">
        <v>433</v>
      </c>
      <c r="W251" t="s">
        <v>434</v>
      </c>
      <c r="X251">
        <v>1991</v>
      </c>
      <c r="Y251" t="s">
        <v>438</v>
      </c>
      <c r="AA251" t="s">
        <v>798</v>
      </c>
    </row>
    <row r="252" spans="3:30" x14ac:dyDescent="0.2">
      <c r="C252" t="s">
        <v>439</v>
      </c>
      <c r="D252">
        <v>53</v>
      </c>
      <c r="E252" t="s">
        <v>17</v>
      </c>
      <c r="F252">
        <v>700</v>
      </c>
      <c r="G252" t="s">
        <v>18</v>
      </c>
      <c r="H252" t="s">
        <v>95</v>
      </c>
      <c r="I252">
        <v>160</v>
      </c>
      <c r="J252" t="s">
        <v>20</v>
      </c>
      <c r="K252" t="s">
        <v>790</v>
      </c>
      <c r="R252" t="s">
        <v>21</v>
      </c>
      <c r="S252" t="s">
        <v>433</v>
      </c>
      <c r="W252" t="s">
        <v>434</v>
      </c>
      <c r="X252">
        <v>1991</v>
      </c>
      <c r="Y252" t="s">
        <v>440</v>
      </c>
      <c r="AA252" t="s">
        <v>798</v>
      </c>
    </row>
    <row r="253" spans="3:30" x14ac:dyDescent="0.2">
      <c r="C253" t="s">
        <v>439</v>
      </c>
      <c r="D253">
        <v>53</v>
      </c>
      <c r="E253" t="s">
        <v>17</v>
      </c>
      <c r="F253">
        <v>800</v>
      </c>
      <c r="G253" t="s">
        <v>18</v>
      </c>
      <c r="H253" t="s">
        <v>95</v>
      </c>
      <c r="I253">
        <v>160</v>
      </c>
      <c r="J253" t="s">
        <v>20</v>
      </c>
      <c r="K253" t="s">
        <v>790</v>
      </c>
      <c r="R253" t="s">
        <v>21</v>
      </c>
      <c r="S253" t="s">
        <v>433</v>
      </c>
      <c r="W253" t="s">
        <v>434</v>
      </c>
      <c r="X253">
        <v>1991</v>
      </c>
      <c r="Y253" t="s">
        <v>441</v>
      </c>
      <c r="AA253" t="s">
        <v>798</v>
      </c>
    </row>
    <row r="254" spans="3:30" x14ac:dyDescent="0.2">
      <c r="C254" t="s">
        <v>439</v>
      </c>
      <c r="D254">
        <v>53</v>
      </c>
      <c r="E254" t="s">
        <v>17</v>
      </c>
      <c r="F254">
        <v>900</v>
      </c>
      <c r="G254" t="s">
        <v>18</v>
      </c>
      <c r="H254" t="s">
        <v>95</v>
      </c>
      <c r="I254">
        <v>160</v>
      </c>
      <c r="J254" t="s">
        <v>20</v>
      </c>
      <c r="K254" t="s">
        <v>790</v>
      </c>
      <c r="R254" t="s">
        <v>21</v>
      </c>
      <c r="S254" t="s">
        <v>433</v>
      </c>
      <c r="W254" t="s">
        <v>434</v>
      </c>
      <c r="X254">
        <v>1991</v>
      </c>
      <c r="Y254" t="s">
        <v>442</v>
      </c>
      <c r="AA254" t="s">
        <v>798</v>
      </c>
    </row>
    <row r="255" spans="3:30" x14ac:dyDescent="0.2">
      <c r="C255" t="s">
        <v>439</v>
      </c>
      <c r="D255">
        <v>53</v>
      </c>
      <c r="E255" t="s">
        <v>17</v>
      </c>
      <c r="F255">
        <v>1000</v>
      </c>
      <c r="G255" t="s">
        <v>18</v>
      </c>
      <c r="H255" t="s">
        <v>95</v>
      </c>
      <c r="I255">
        <v>160</v>
      </c>
      <c r="J255" t="s">
        <v>20</v>
      </c>
      <c r="K255" t="s">
        <v>790</v>
      </c>
      <c r="R255" t="s">
        <v>21</v>
      </c>
      <c r="S255" t="s">
        <v>433</v>
      </c>
      <c r="W255" t="s">
        <v>434</v>
      </c>
      <c r="X255">
        <v>1991</v>
      </c>
      <c r="Y255" t="s">
        <v>443</v>
      </c>
      <c r="AA255" t="s">
        <v>798</v>
      </c>
    </row>
    <row r="256" spans="3:30" x14ac:dyDescent="0.2">
      <c r="C256" t="s">
        <v>444</v>
      </c>
      <c r="D256">
        <v>53</v>
      </c>
      <c r="E256" t="s">
        <v>17</v>
      </c>
      <c r="F256">
        <v>700</v>
      </c>
      <c r="G256" t="s">
        <v>18</v>
      </c>
      <c r="H256" t="s">
        <v>95</v>
      </c>
      <c r="I256">
        <v>160</v>
      </c>
      <c r="J256" t="s">
        <v>20</v>
      </c>
      <c r="K256" t="s">
        <v>790</v>
      </c>
      <c r="R256" t="s">
        <v>21</v>
      </c>
      <c r="S256" t="s">
        <v>433</v>
      </c>
      <c r="W256" t="s">
        <v>434</v>
      </c>
      <c r="X256">
        <v>1991</v>
      </c>
      <c r="Y256" t="s">
        <v>445</v>
      </c>
      <c r="AA256" t="s">
        <v>798</v>
      </c>
    </row>
    <row r="257" spans="3:30" x14ac:dyDescent="0.2">
      <c r="C257" t="s">
        <v>444</v>
      </c>
      <c r="D257">
        <v>53</v>
      </c>
      <c r="E257" t="s">
        <v>17</v>
      </c>
      <c r="F257">
        <v>800</v>
      </c>
      <c r="G257" t="s">
        <v>18</v>
      </c>
      <c r="H257" t="s">
        <v>95</v>
      </c>
      <c r="I257">
        <v>160</v>
      </c>
      <c r="J257" t="s">
        <v>20</v>
      </c>
      <c r="K257" t="s">
        <v>790</v>
      </c>
      <c r="R257" t="s">
        <v>21</v>
      </c>
      <c r="S257" t="s">
        <v>433</v>
      </c>
      <c r="W257" t="s">
        <v>434</v>
      </c>
      <c r="X257">
        <v>1991</v>
      </c>
      <c r="Y257" t="s">
        <v>446</v>
      </c>
      <c r="AA257" t="s">
        <v>798</v>
      </c>
    </row>
    <row r="258" spans="3:30" x14ac:dyDescent="0.2">
      <c r="C258" t="s">
        <v>444</v>
      </c>
      <c r="D258">
        <v>53</v>
      </c>
      <c r="E258" t="s">
        <v>17</v>
      </c>
      <c r="F258">
        <v>900</v>
      </c>
      <c r="G258" t="s">
        <v>18</v>
      </c>
      <c r="H258" t="s">
        <v>95</v>
      </c>
      <c r="I258">
        <v>160</v>
      </c>
      <c r="J258" t="s">
        <v>20</v>
      </c>
      <c r="K258" t="s">
        <v>790</v>
      </c>
      <c r="R258" t="s">
        <v>21</v>
      </c>
      <c r="S258" t="s">
        <v>433</v>
      </c>
      <c r="W258" t="s">
        <v>434</v>
      </c>
      <c r="X258">
        <v>1991</v>
      </c>
      <c r="Y258" t="s">
        <v>447</v>
      </c>
      <c r="AA258" t="s">
        <v>798</v>
      </c>
    </row>
    <row r="259" spans="3:30" x14ac:dyDescent="0.2">
      <c r="C259" t="s">
        <v>444</v>
      </c>
      <c r="D259">
        <v>53</v>
      </c>
      <c r="E259" t="s">
        <v>17</v>
      </c>
      <c r="F259">
        <v>1000</v>
      </c>
      <c r="G259" t="s">
        <v>18</v>
      </c>
      <c r="H259" t="s">
        <v>95</v>
      </c>
      <c r="I259">
        <v>160</v>
      </c>
      <c r="J259" t="s">
        <v>20</v>
      </c>
      <c r="K259" t="s">
        <v>790</v>
      </c>
      <c r="R259" t="s">
        <v>21</v>
      </c>
      <c r="S259" t="s">
        <v>433</v>
      </c>
      <c r="W259" t="s">
        <v>434</v>
      </c>
      <c r="X259">
        <v>1991</v>
      </c>
      <c r="Y259" t="s">
        <v>448</v>
      </c>
      <c r="AA259" t="s">
        <v>798</v>
      </c>
    </row>
    <row r="260" spans="3:30" x14ac:dyDescent="0.2">
      <c r="C260" t="s">
        <v>449</v>
      </c>
      <c r="D260">
        <v>54</v>
      </c>
      <c r="E260" t="s">
        <v>176</v>
      </c>
      <c r="F260">
        <v>1100</v>
      </c>
      <c r="G260" t="s">
        <v>18</v>
      </c>
      <c r="H260" t="s">
        <v>95</v>
      </c>
      <c r="I260">
        <v>160</v>
      </c>
      <c r="J260" t="s">
        <v>20</v>
      </c>
      <c r="K260" t="s">
        <v>790</v>
      </c>
      <c r="N260">
        <v>20</v>
      </c>
      <c r="R260" t="s">
        <v>21</v>
      </c>
      <c r="S260" t="s">
        <v>450</v>
      </c>
      <c r="W260" t="s">
        <v>451</v>
      </c>
      <c r="X260">
        <v>2020</v>
      </c>
      <c r="Y260" t="s">
        <v>452</v>
      </c>
      <c r="AA260" t="s">
        <v>796</v>
      </c>
      <c r="AB260">
        <v>5</v>
      </c>
      <c r="AC260">
        <v>7.5</v>
      </c>
      <c r="AD260">
        <v>2</v>
      </c>
    </row>
    <row r="261" spans="3:30" x14ac:dyDescent="0.2">
      <c r="C261" t="s">
        <v>453</v>
      </c>
      <c r="D261">
        <v>55</v>
      </c>
      <c r="E261" t="s">
        <v>17</v>
      </c>
      <c r="F261">
        <v>685</v>
      </c>
      <c r="G261" t="s">
        <v>18</v>
      </c>
      <c r="H261" t="s">
        <v>95</v>
      </c>
      <c r="I261">
        <v>1</v>
      </c>
      <c r="J261" t="s">
        <v>55</v>
      </c>
      <c r="K261" t="s">
        <v>790</v>
      </c>
      <c r="R261" t="s">
        <v>21</v>
      </c>
      <c r="S261" t="s">
        <v>186</v>
      </c>
      <c r="W261" t="s">
        <v>454</v>
      </c>
      <c r="X261">
        <v>1962</v>
      </c>
      <c r="Y261" t="s">
        <v>455</v>
      </c>
      <c r="AA261" t="s">
        <v>796</v>
      </c>
      <c r="AB261">
        <v>50</v>
      </c>
      <c r="AC261">
        <v>7</v>
      </c>
      <c r="AD261">
        <v>1.3</v>
      </c>
    </row>
    <row r="262" spans="3:30" x14ac:dyDescent="0.2">
      <c r="C262" t="s">
        <v>453</v>
      </c>
      <c r="D262">
        <v>55</v>
      </c>
      <c r="E262" t="s">
        <v>17</v>
      </c>
      <c r="F262">
        <v>760</v>
      </c>
      <c r="G262" t="s">
        <v>18</v>
      </c>
      <c r="H262" t="s">
        <v>95</v>
      </c>
      <c r="I262">
        <v>1</v>
      </c>
      <c r="J262" t="s">
        <v>55</v>
      </c>
      <c r="K262" t="s">
        <v>790</v>
      </c>
      <c r="R262" t="s">
        <v>21</v>
      </c>
      <c r="S262" t="s">
        <v>186</v>
      </c>
      <c r="W262" t="s">
        <v>454</v>
      </c>
      <c r="X262">
        <v>1962</v>
      </c>
      <c r="Y262" t="s">
        <v>456</v>
      </c>
      <c r="AA262" t="s">
        <v>796</v>
      </c>
      <c r="AB262">
        <v>50</v>
      </c>
      <c r="AC262">
        <v>7</v>
      </c>
      <c r="AD262">
        <v>1.3</v>
      </c>
    </row>
    <row r="263" spans="3:30" x14ac:dyDescent="0.2">
      <c r="C263" t="s">
        <v>453</v>
      </c>
      <c r="D263">
        <v>55</v>
      </c>
      <c r="E263" t="s">
        <v>17</v>
      </c>
      <c r="F263">
        <v>810</v>
      </c>
      <c r="G263" t="s">
        <v>18</v>
      </c>
      <c r="H263" t="s">
        <v>95</v>
      </c>
      <c r="I263">
        <v>1</v>
      </c>
      <c r="J263" t="s">
        <v>55</v>
      </c>
      <c r="K263" t="s">
        <v>790</v>
      </c>
      <c r="R263" t="s">
        <v>21</v>
      </c>
      <c r="S263" t="s">
        <v>186</v>
      </c>
      <c r="W263" t="s">
        <v>454</v>
      </c>
      <c r="X263">
        <v>1962</v>
      </c>
      <c r="Y263" t="s">
        <v>457</v>
      </c>
      <c r="AA263" t="s">
        <v>796</v>
      </c>
      <c r="AB263">
        <v>50</v>
      </c>
      <c r="AC263">
        <v>7</v>
      </c>
      <c r="AD263">
        <v>1.3</v>
      </c>
    </row>
    <row r="264" spans="3:30" x14ac:dyDescent="0.2">
      <c r="C264" t="s">
        <v>453</v>
      </c>
      <c r="D264">
        <v>55</v>
      </c>
      <c r="E264" t="s">
        <v>17</v>
      </c>
      <c r="F264">
        <v>820</v>
      </c>
      <c r="G264" t="s">
        <v>18</v>
      </c>
      <c r="H264" t="s">
        <v>95</v>
      </c>
      <c r="I264">
        <v>1</v>
      </c>
      <c r="J264" t="s">
        <v>55</v>
      </c>
      <c r="K264" t="s">
        <v>790</v>
      </c>
      <c r="R264" t="s">
        <v>21</v>
      </c>
      <c r="S264" t="s">
        <v>186</v>
      </c>
      <c r="W264" t="s">
        <v>454</v>
      </c>
      <c r="X264">
        <v>1962</v>
      </c>
      <c r="Y264" t="s">
        <v>458</v>
      </c>
      <c r="AA264" t="s">
        <v>796</v>
      </c>
      <c r="AB264">
        <v>50</v>
      </c>
      <c r="AC264">
        <v>7</v>
      </c>
      <c r="AD264">
        <v>1.3</v>
      </c>
    </row>
    <row r="265" spans="3:30" x14ac:dyDescent="0.2">
      <c r="C265" t="s">
        <v>453</v>
      </c>
      <c r="D265">
        <v>55</v>
      </c>
      <c r="E265" t="s">
        <v>17</v>
      </c>
      <c r="F265">
        <v>880</v>
      </c>
      <c r="G265" t="s">
        <v>18</v>
      </c>
      <c r="H265" t="s">
        <v>95</v>
      </c>
      <c r="I265">
        <v>1</v>
      </c>
      <c r="J265" t="s">
        <v>55</v>
      </c>
      <c r="K265" t="s">
        <v>790</v>
      </c>
      <c r="R265" t="s">
        <v>21</v>
      </c>
      <c r="S265" t="s">
        <v>186</v>
      </c>
      <c r="W265" t="s">
        <v>454</v>
      </c>
      <c r="X265">
        <v>1962</v>
      </c>
      <c r="Y265" t="s">
        <v>459</v>
      </c>
      <c r="AA265" t="s">
        <v>796</v>
      </c>
      <c r="AB265">
        <v>50</v>
      </c>
      <c r="AC265">
        <v>7</v>
      </c>
      <c r="AD265">
        <v>1.3</v>
      </c>
    </row>
    <row r="266" spans="3:30" x14ac:dyDescent="0.2">
      <c r="C266" t="s">
        <v>453</v>
      </c>
      <c r="D266">
        <v>55</v>
      </c>
      <c r="E266" t="s">
        <v>17</v>
      </c>
      <c r="F266">
        <v>900</v>
      </c>
      <c r="G266" t="s">
        <v>18</v>
      </c>
      <c r="H266" t="s">
        <v>95</v>
      </c>
      <c r="I266">
        <v>1</v>
      </c>
      <c r="J266" t="s">
        <v>55</v>
      </c>
      <c r="K266" t="s">
        <v>790</v>
      </c>
      <c r="R266" t="s">
        <v>21</v>
      </c>
      <c r="S266" t="s">
        <v>186</v>
      </c>
      <c r="W266" t="s">
        <v>454</v>
      </c>
      <c r="X266">
        <v>1962</v>
      </c>
      <c r="Y266" t="s">
        <v>460</v>
      </c>
      <c r="AA266" t="s">
        <v>796</v>
      </c>
      <c r="AB266">
        <v>50</v>
      </c>
      <c r="AC266">
        <v>7</v>
      </c>
      <c r="AD266">
        <v>1.3</v>
      </c>
    </row>
    <row r="267" spans="3:30" x14ac:dyDescent="0.2">
      <c r="C267" t="s">
        <v>453</v>
      </c>
      <c r="D267">
        <v>55</v>
      </c>
      <c r="E267" t="s">
        <v>17</v>
      </c>
      <c r="F267">
        <v>920</v>
      </c>
      <c r="G267" t="s">
        <v>18</v>
      </c>
      <c r="H267" t="s">
        <v>95</v>
      </c>
      <c r="I267">
        <v>1</v>
      </c>
      <c r="J267" t="s">
        <v>55</v>
      </c>
      <c r="K267" t="s">
        <v>790</v>
      </c>
      <c r="R267" t="s">
        <v>21</v>
      </c>
      <c r="S267" t="s">
        <v>186</v>
      </c>
      <c r="W267" t="s">
        <v>454</v>
      </c>
      <c r="X267">
        <v>1962</v>
      </c>
      <c r="Y267" t="s">
        <v>461</v>
      </c>
      <c r="AA267" t="s">
        <v>796</v>
      </c>
      <c r="AB267">
        <v>50</v>
      </c>
      <c r="AC267">
        <v>7</v>
      </c>
      <c r="AD267">
        <v>1.3</v>
      </c>
    </row>
    <row r="268" spans="3:30" x14ac:dyDescent="0.2">
      <c r="C268" t="s">
        <v>453</v>
      </c>
      <c r="D268">
        <v>55</v>
      </c>
      <c r="E268" t="s">
        <v>17</v>
      </c>
      <c r="F268">
        <v>940</v>
      </c>
      <c r="G268" t="s">
        <v>18</v>
      </c>
      <c r="H268" t="s">
        <v>95</v>
      </c>
      <c r="I268">
        <v>1</v>
      </c>
      <c r="J268" t="s">
        <v>55</v>
      </c>
      <c r="K268" t="s">
        <v>790</v>
      </c>
      <c r="R268" t="s">
        <v>21</v>
      </c>
      <c r="S268" t="s">
        <v>186</v>
      </c>
      <c r="W268" t="s">
        <v>454</v>
      </c>
      <c r="X268">
        <v>1962</v>
      </c>
      <c r="Y268" t="s">
        <v>462</v>
      </c>
      <c r="AA268" t="s">
        <v>796</v>
      </c>
      <c r="AB268">
        <v>50</v>
      </c>
      <c r="AC268">
        <v>7</v>
      </c>
      <c r="AD268">
        <v>1.3</v>
      </c>
    </row>
    <row r="269" spans="3:30" x14ac:dyDescent="0.2">
      <c r="C269" t="s">
        <v>453</v>
      </c>
      <c r="D269">
        <v>55</v>
      </c>
      <c r="E269" t="s">
        <v>17</v>
      </c>
      <c r="F269">
        <v>945</v>
      </c>
      <c r="G269" t="s">
        <v>18</v>
      </c>
      <c r="H269" t="s">
        <v>95</v>
      </c>
      <c r="I269">
        <v>1</v>
      </c>
      <c r="J269" t="s">
        <v>55</v>
      </c>
      <c r="K269" t="s">
        <v>790</v>
      </c>
      <c r="R269" t="s">
        <v>21</v>
      </c>
      <c r="S269" t="s">
        <v>186</v>
      </c>
      <c r="W269" t="s">
        <v>454</v>
      </c>
      <c r="X269">
        <v>1962</v>
      </c>
      <c r="Y269" t="s">
        <v>463</v>
      </c>
      <c r="AA269" t="s">
        <v>796</v>
      </c>
      <c r="AB269">
        <v>50</v>
      </c>
      <c r="AC269">
        <v>7</v>
      </c>
      <c r="AD269">
        <v>1.3</v>
      </c>
    </row>
    <row r="270" spans="3:30" x14ac:dyDescent="0.2">
      <c r="C270" t="s">
        <v>453</v>
      </c>
      <c r="D270">
        <v>55</v>
      </c>
      <c r="E270" t="s">
        <v>17</v>
      </c>
      <c r="F270">
        <v>950</v>
      </c>
      <c r="G270" t="s">
        <v>18</v>
      </c>
      <c r="H270" t="s">
        <v>95</v>
      </c>
      <c r="I270">
        <v>1</v>
      </c>
      <c r="J270" t="s">
        <v>55</v>
      </c>
      <c r="K270" t="s">
        <v>790</v>
      </c>
      <c r="R270" t="s">
        <v>21</v>
      </c>
      <c r="S270" t="s">
        <v>186</v>
      </c>
      <c r="W270" t="s">
        <v>454</v>
      </c>
      <c r="X270">
        <v>1962</v>
      </c>
      <c r="Y270" t="s">
        <v>464</v>
      </c>
      <c r="AA270" t="s">
        <v>796</v>
      </c>
      <c r="AB270">
        <v>50</v>
      </c>
      <c r="AC270">
        <v>7</v>
      </c>
      <c r="AD270">
        <v>1.3</v>
      </c>
    </row>
    <row r="271" spans="3:30" x14ac:dyDescent="0.2">
      <c r="C271" t="s">
        <v>453</v>
      </c>
      <c r="D271">
        <v>55</v>
      </c>
      <c r="E271" t="s">
        <v>17</v>
      </c>
      <c r="F271">
        <v>975</v>
      </c>
      <c r="G271" t="s">
        <v>18</v>
      </c>
      <c r="H271" t="s">
        <v>95</v>
      </c>
      <c r="I271">
        <v>1</v>
      </c>
      <c r="J271" t="s">
        <v>55</v>
      </c>
      <c r="K271" t="s">
        <v>790</v>
      </c>
      <c r="R271" t="s">
        <v>21</v>
      </c>
      <c r="S271" t="s">
        <v>186</v>
      </c>
      <c r="W271" s="2" t="s">
        <v>454</v>
      </c>
      <c r="X271">
        <v>1962</v>
      </c>
      <c r="Y271" t="s">
        <v>465</v>
      </c>
      <c r="AA271" t="s">
        <v>796</v>
      </c>
      <c r="AB271">
        <v>50</v>
      </c>
      <c r="AC271">
        <v>7</v>
      </c>
      <c r="AD271">
        <v>1.3</v>
      </c>
    </row>
    <row r="272" spans="3:30" x14ac:dyDescent="0.2">
      <c r="C272" t="s">
        <v>453</v>
      </c>
      <c r="D272">
        <v>55</v>
      </c>
      <c r="E272" t="s">
        <v>17</v>
      </c>
      <c r="F272">
        <v>990</v>
      </c>
      <c r="G272" t="s">
        <v>18</v>
      </c>
      <c r="H272" t="s">
        <v>95</v>
      </c>
      <c r="I272">
        <v>1</v>
      </c>
      <c r="J272" t="s">
        <v>55</v>
      </c>
      <c r="K272" t="s">
        <v>790</v>
      </c>
      <c r="R272" t="s">
        <v>21</v>
      </c>
      <c r="S272" t="s">
        <v>186</v>
      </c>
      <c r="W272" t="s">
        <v>454</v>
      </c>
      <c r="X272">
        <v>1962</v>
      </c>
      <c r="Y272" t="s">
        <v>466</v>
      </c>
      <c r="AA272" t="s">
        <v>796</v>
      </c>
      <c r="AB272">
        <v>50</v>
      </c>
      <c r="AC272">
        <v>7</v>
      </c>
      <c r="AD272">
        <v>1.3</v>
      </c>
    </row>
    <row r="273" spans="3:30" x14ac:dyDescent="0.2">
      <c r="C273" t="s">
        <v>467</v>
      </c>
      <c r="D273">
        <v>56</v>
      </c>
      <c r="E273" t="s">
        <v>17</v>
      </c>
      <c r="F273">
        <v>1000</v>
      </c>
      <c r="G273" t="s">
        <v>18</v>
      </c>
      <c r="H273" t="s">
        <v>95</v>
      </c>
      <c r="I273">
        <v>0.1</v>
      </c>
      <c r="J273" t="s">
        <v>55</v>
      </c>
      <c r="K273" t="s">
        <v>790</v>
      </c>
      <c r="R273" t="s">
        <v>21</v>
      </c>
      <c r="S273" t="s">
        <v>468</v>
      </c>
      <c r="W273" t="s">
        <v>469</v>
      </c>
      <c r="X273">
        <v>1971</v>
      </c>
      <c r="Y273" t="s">
        <v>470</v>
      </c>
      <c r="AA273" t="s">
        <v>797</v>
      </c>
      <c r="AB273">
        <v>1.27</v>
      </c>
      <c r="AC273">
        <v>1.27</v>
      </c>
      <c r="AD273">
        <v>1.27</v>
      </c>
    </row>
    <row r="274" spans="3:30" x14ac:dyDescent="0.2">
      <c r="C274" t="s">
        <v>467</v>
      </c>
      <c r="D274">
        <v>56</v>
      </c>
      <c r="E274" t="s">
        <v>17</v>
      </c>
      <c r="F274">
        <v>1100</v>
      </c>
      <c r="G274" t="s">
        <v>18</v>
      </c>
      <c r="H274" t="s">
        <v>95</v>
      </c>
      <c r="I274">
        <v>0.1</v>
      </c>
      <c r="J274" t="s">
        <v>55</v>
      </c>
      <c r="K274" t="s">
        <v>790</v>
      </c>
      <c r="R274" t="s">
        <v>21</v>
      </c>
      <c r="S274" t="s">
        <v>468</v>
      </c>
      <c r="W274" t="s">
        <v>469</v>
      </c>
      <c r="X274">
        <v>1971</v>
      </c>
      <c r="Y274" t="s">
        <v>471</v>
      </c>
      <c r="AA274" t="s">
        <v>797</v>
      </c>
      <c r="AB274">
        <v>1.27</v>
      </c>
      <c r="AC274">
        <v>1.27</v>
      </c>
      <c r="AD274">
        <v>1.27</v>
      </c>
    </row>
    <row r="275" spans="3:30" x14ac:dyDescent="0.2">
      <c r="C275" t="s">
        <v>467</v>
      </c>
      <c r="D275">
        <v>56</v>
      </c>
      <c r="E275" t="s">
        <v>17</v>
      </c>
      <c r="F275">
        <v>1200</v>
      </c>
      <c r="G275" t="s">
        <v>18</v>
      </c>
      <c r="H275" t="s">
        <v>95</v>
      </c>
      <c r="I275">
        <v>0.1</v>
      </c>
      <c r="J275" t="s">
        <v>55</v>
      </c>
      <c r="K275" t="s">
        <v>790</v>
      </c>
      <c r="R275" t="s">
        <v>21</v>
      </c>
      <c r="S275" t="s">
        <v>468</v>
      </c>
      <c r="W275" t="s">
        <v>469</v>
      </c>
      <c r="X275">
        <v>1971</v>
      </c>
      <c r="Y275" t="s">
        <v>472</v>
      </c>
      <c r="AA275" t="s">
        <v>797</v>
      </c>
      <c r="AB275">
        <v>1.27</v>
      </c>
      <c r="AC275">
        <v>1.27</v>
      </c>
      <c r="AD275">
        <v>1.27</v>
      </c>
    </row>
    <row r="276" spans="3:30" x14ac:dyDescent="0.2">
      <c r="C276" t="s">
        <v>473</v>
      </c>
      <c r="D276">
        <v>56</v>
      </c>
      <c r="E276" t="s">
        <v>17</v>
      </c>
      <c r="F276">
        <v>1200</v>
      </c>
      <c r="G276" t="s">
        <v>18</v>
      </c>
      <c r="H276" t="s">
        <v>95</v>
      </c>
      <c r="I276">
        <v>0.1</v>
      </c>
      <c r="J276" t="s">
        <v>55</v>
      </c>
      <c r="K276" t="s">
        <v>790</v>
      </c>
      <c r="R276" t="s">
        <v>21</v>
      </c>
      <c r="S276" t="s">
        <v>468</v>
      </c>
      <c r="W276" t="s">
        <v>469</v>
      </c>
      <c r="X276">
        <v>1971</v>
      </c>
      <c r="Y276" t="s">
        <v>474</v>
      </c>
      <c r="AA276" t="s">
        <v>797</v>
      </c>
      <c r="AB276">
        <v>1.27</v>
      </c>
      <c r="AC276">
        <v>1.27</v>
      </c>
      <c r="AD276">
        <v>1.27</v>
      </c>
    </row>
    <row r="277" spans="3:30" x14ac:dyDescent="0.2">
      <c r="C277" t="s">
        <v>475</v>
      </c>
      <c r="D277">
        <v>56</v>
      </c>
      <c r="E277" t="s">
        <v>17</v>
      </c>
      <c r="F277">
        <v>1100</v>
      </c>
      <c r="G277" t="s">
        <v>18</v>
      </c>
      <c r="H277" t="s">
        <v>95</v>
      </c>
      <c r="I277">
        <v>0.1</v>
      </c>
      <c r="J277" t="s">
        <v>55</v>
      </c>
      <c r="K277" t="s">
        <v>790</v>
      </c>
      <c r="R277" t="s">
        <v>21</v>
      </c>
      <c r="S277" t="s">
        <v>468</v>
      </c>
      <c r="W277" t="s">
        <v>469</v>
      </c>
      <c r="X277">
        <v>1971</v>
      </c>
      <c r="Y277" t="s">
        <v>476</v>
      </c>
      <c r="AA277" t="s">
        <v>797</v>
      </c>
      <c r="AB277">
        <v>1.27</v>
      </c>
      <c r="AC277">
        <v>1.27</v>
      </c>
      <c r="AD277">
        <v>1.27</v>
      </c>
    </row>
    <row r="278" spans="3:30" x14ac:dyDescent="0.2">
      <c r="C278" t="s">
        <v>477</v>
      </c>
      <c r="D278">
        <v>56</v>
      </c>
      <c r="E278" t="s">
        <v>17</v>
      </c>
      <c r="F278">
        <v>1000</v>
      </c>
      <c r="G278" t="s">
        <v>18</v>
      </c>
      <c r="H278" t="s">
        <v>95</v>
      </c>
      <c r="I278">
        <v>0.1</v>
      </c>
      <c r="J278" t="s">
        <v>55</v>
      </c>
      <c r="K278" t="s">
        <v>790</v>
      </c>
      <c r="R278" t="s">
        <v>21</v>
      </c>
      <c r="S278" t="s">
        <v>468</v>
      </c>
      <c r="W278" t="s">
        <v>469</v>
      </c>
      <c r="X278">
        <v>1971</v>
      </c>
      <c r="Y278" t="s">
        <v>478</v>
      </c>
      <c r="AA278" t="s">
        <v>797</v>
      </c>
      <c r="AB278">
        <v>1.27</v>
      </c>
      <c r="AC278">
        <v>1.27</v>
      </c>
      <c r="AD278">
        <v>1.27</v>
      </c>
    </row>
    <row r="279" spans="3:30" x14ac:dyDescent="0.2">
      <c r="C279" t="s">
        <v>477</v>
      </c>
      <c r="D279">
        <v>56</v>
      </c>
      <c r="E279" t="s">
        <v>17</v>
      </c>
      <c r="F279">
        <v>1100</v>
      </c>
      <c r="G279" t="s">
        <v>18</v>
      </c>
      <c r="H279" t="s">
        <v>95</v>
      </c>
      <c r="I279">
        <v>0.1</v>
      </c>
      <c r="J279" t="s">
        <v>55</v>
      </c>
      <c r="K279" t="s">
        <v>790</v>
      </c>
      <c r="R279" t="s">
        <v>21</v>
      </c>
      <c r="S279" t="s">
        <v>468</v>
      </c>
      <c r="W279" t="s">
        <v>469</v>
      </c>
      <c r="X279">
        <v>1971</v>
      </c>
      <c r="Y279" t="s">
        <v>479</v>
      </c>
      <c r="AA279" t="s">
        <v>797</v>
      </c>
      <c r="AB279">
        <v>1.27</v>
      </c>
      <c r="AC279">
        <v>1.27</v>
      </c>
      <c r="AD279">
        <v>1.27</v>
      </c>
    </row>
    <row r="280" spans="3:30" x14ac:dyDescent="0.2">
      <c r="C280" t="s">
        <v>477</v>
      </c>
      <c r="D280">
        <v>56</v>
      </c>
      <c r="E280" t="s">
        <v>17</v>
      </c>
      <c r="F280">
        <v>1200</v>
      </c>
      <c r="G280" t="s">
        <v>18</v>
      </c>
      <c r="H280" t="s">
        <v>95</v>
      </c>
      <c r="I280">
        <v>0.1</v>
      </c>
      <c r="J280" t="s">
        <v>55</v>
      </c>
      <c r="K280" t="s">
        <v>790</v>
      </c>
      <c r="R280" t="s">
        <v>21</v>
      </c>
      <c r="S280" t="s">
        <v>468</v>
      </c>
      <c r="W280" t="s">
        <v>469</v>
      </c>
      <c r="X280">
        <v>1971</v>
      </c>
      <c r="Y280" t="s">
        <v>480</v>
      </c>
      <c r="AA280" t="s">
        <v>797</v>
      </c>
      <c r="AB280">
        <v>1.27</v>
      </c>
      <c r="AC280">
        <v>1.27</v>
      </c>
      <c r="AD280">
        <v>1.27</v>
      </c>
    </row>
    <row r="281" spans="3:30" x14ac:dyDescent="0.2">
      <c r="C281" t="s">
        <v>481</v>
      </c>
      <c r="D281">
        <v>56</v>
      </c>
      <c r="E281" t="s">
        <v>17</v>
      </c>
      <c r="F281">
        <v>1000</v>
      </c>
      <c r="G281" t="s">
        <v>18</v>
      </c>
      <c r="H281" t="s">
        <v>95</v>
      </c>
      <c r="I281">
        <v>0.1</v>
      </c>
      <c r="J281" t="s">
        <v>55</v>
      </c>
      <c r="K281" t="s">
        <v>790</v>
      </c>
      <c r="R281" t="s">
        <v>21</v>
      </c>
      <c r="S281" t="s">
        <v>468</v>
      </c>
      <c r="W281" t="s">
        <v>469</v>
      </c>
      <c r="X281">
        <v>1971</v>
      </c>
      <c r="Y281" t="s">
        <v>482</v>
      </c>
      <c r="AA281" t="s">
        <v>797</v>
      </c>
      <c r="AB281">
        <v>1.27</v>
      </c>
      <c r="AC281">
        <v>1.27</v>
      </c>
      <c r="AD281">
        <v>1.27</v>
      </c>
    </row>
    <row r="282" spans="3:30" x14ac:dyDescent="0.2">
      <c r="C282" t="s">
        <v>481</v>
      </c>
      <c r="D282">
        <v>56</v>
      </c>
      <c r="E282" t="s">
        <v>17</v>
      </c>
      <c r="F282">
        <v>1100</v>
      </c>
      <c r="G282" t="s">
        <v>18</v>
      </c>
      <c r="H282" t="s">
        <v>95</v>
      </c>
      <c r="I282">
        <v>0.1</v>
      </c>
      <c r="J282" t="s">
        <v>55</v>
      </c>
      <c r="K282" t="s">
        <v>790</v>
      </c>
      <c r="R282" t="s">
        <v>21</v>
      </c>
      <c r="S282" t="s">
        <v>468</v>
      </c>
      <c r="W282" t="s">
        <v>469</v>
      </c>
      <c r="X282">
        <v>1971</v>
      </c>
      <c r="Y282" t="s">
        <v>483</v>
      </c>
      <c r="AA282" t="s">
        <v>797</v>
      </c>
      <c r="AB282">
        <v>1.27</v>
      </c>
      <c r="AC282">
        <v>1.27</v>
      </c>
      <c r="AD282">
        <v>1.27</v>
      </c>
    </row>
    <row r="283" spans="3:30" x14ac:dyDescent="0.2">
      <c r="C283" t="s">
        <v>481</v>
      </c>
      <c r="D283">
        <v>56</v>
      </c>
      <c r="E283" t="s">
        <v>17</v>
      </c>
      <c r="F283">
        <v>1200</v>
      </c>
      <c r="G283" t="s">
        <v>18</v>
      </c>
      <c r="H283" t="s">
        <v>95</v>
      </c>
      <c r="I283">
        <v>0.1</v>
      </c>
      <c r="J283" t="s">
        <v>55</v>
      </c>
      <c r="K283" t="s">
        <v>790</v>
      </c>
      <c r="R283" t="s">
        <v>21</v>
      </c>
      <c r="S283" t="s">
        <v>468</v>
      </c>
      <c r="W283" t="s">
        <v>469</v>
      </c>
      <c r="X283">
        <v>1971</v>
      </c>
      <c r="Y283" t="s">
        <v>484</v>
      </c>
      <c r="AA283" t="s">
        <v>797</v>
      </c>
      <c r="AB283">
        <v>1.27</v>
      </c>
      <c r="AC283">
        <v>1.27</v>
      </c>
      <c r="AD283">
        <v>1.27</v>
      </c>
    </row>
    <row r="284" spans="3:30" x14ac:dyDescent="0.2">
      <c r="C284" t="s">
        <v>485</v>
      </c>
      <c r="D284">
        <v>56</v>
      </c>
      <c r="E284" t="s">
        <v>17</v>
      </c>
      <c r="F284">
        <v>1100</v>
      </c>
      <c r="G284" t="s">
        <v>18</v>
      </c>
      <c r="H284" t="s">
        <v>95</v>
      </c>
      <c r="I284">
        <v>0.1</v>
      </c>
      <c r="J284" t="s">
        <v>55</v>
      </c>
      <c r="K284" t="s">
        <v>790</v>
      </c>
      <c r="R284" t="s">
        <v>21</v>
      </c>
      <c r="S284" t="s">
        <v>468</v>
      </c>
      <c r="W284" t="s">
        <v>469</v>
      </c>
      <c r="X284">
        <v>1971</v>
      </c>
      <c r="Y284" t="s">
        <v>486</v>
      </c>
      <c r="AA284" t="s">
        <v>797</v>
      </c>
      <c r="AB284">
        <v>1.27</v>
      </c>
      <c r="AC284">
        <v>1.27</v>
      </c>
      <c r="AD284">
        <v>1.27</v>
      </c>
    </row>
    <row r="285" spans="3:30" x14ac:dyDescent="0.2">
      <c r="C285" t="s">
        <v>487</v>
      </c>
      <c r="D285">
        <v>56</v>
      </c>
      <c r="E285" t="s">
        <v>17</v>
      </c>
      <c r="F285">
        <v>1100</v>
      </c>
      <c r="G285" t="s">
        <v>18</v>
      </c>
      <c r="H285" t="s">
        <v>95</v>
      </c>
      <c r="I285">
        <v>0.1</v>
      </c>
      <c r="J285" t="s">
        <v>55</v>
      </c>
      <c r="K285" t="s">
        <v>790</v>
      </c>
      <c r="R285" t="s">
        <v>21</v>
      </c>
      <c r="S285" t="s">
        <v>468</v>
      </c>
      <c r="W285" t="s">
        <v>469</v>
      </c>
      <c r="X285">
        <v>1971</v>
      </c>
      <c r="Y285" t="s">
        <v>488</v>
      </c>
      <c r="AA285" t="s">
        <v>797</v>
      </c>
      <c r="AB285">
        <v>1.27</v>
      </c>
      <c r="AC285">
        <v>1.27</v>
      </c>
      <c r="AD285">
        <v>1.27</v>
      </c>
    </row>
    <row r="286" spans="3:30" x14ac:dyDescent="0.2">
      <c r="C286" t="s">
        <v>489</v>
      </c>
      <c r="D286">
        <v>57</v>
      </c>
      <c r="E286" t="s">
        <v>176</v>
      </c>
      <c r="F286">
        <v>1000</v>
      </c>
      <c r="G286" t="s">
        <v>18</v>
      </c>
      <c r="H286" t="s">
        <v>95</v>
      </c>
      <c r="I286">
        <v>160</v>
      </c>
      <c r="J286" t="s">
        <v>20</v>
      </c>
      <c r="K286" t="s">
        <v>790</v>
      </c>
      <c r="R286" t="s">
        <v>196</v>
      </c>
      <c r="S286" t="s">
        <v>468</v>
      </c>
      <c r="W286" t="s">
        <v>490</v>
      </c>
      <c r="X286">
        <v>2004</v>
      </c>
      <c r="Y286" t="s">
        <v>491</v>
      </c>
      <c r="AA286" t="s">
        <v>796</v>
      </c>
      <c r="AB286">
        <v>8</v>
      </c>
      <c r="AC286">
        <v>4</v>
      </c>
      <c r="AD286">
        <v>2</v>
      </c>
    </row>
    <row r="287" spans="3:30" x14ac:dyDescent="0.2">
      <c r="C287" t="s">
        <v>492</v>
      </c>
      <c r="D287">
        <v>57</v>
      </c>
      <c r="E287" t="s">
        <v>176</v>
      </c>
      <c r="F287">
        <v>1000</v>
      </c>
      <c r="G287" t="s">
        <v>18</v>
      </c>
      <c r="H287" t="s">
        <v>95</v>
      </c>
      <c r="I287">
        <v>160</v>
      </c>
      <c r="J287" t="s">
        <v>20</v>
      </c>
      <c r="K287" t="s">
        <v>790</v>
      </c>
      <c r="R287" t="s">
        <v>196</v>
      </c>
      <c r="S287" t="s">
        <v>468</v>
      </c>
      <c r="W287" s="2" t="s">
        <v>490</v>
      </c>
      <c r="X287">
        <v>2004</v>
      </c>
      <c r="Y287" t="s">
        <v>493</v>
      </c>
      <c r="AA287" t="s">
        <v>796</v>
      </c>
      <c r="AB287">
        <v>8</v>
      </c>
      <c r="AC287">
        <v>4</v>
      </c>
      <c r="AD287">
        <v>2</v>
      </c>
    </row>
    <row r="288" spans="3:30" x14ac:dyDescent="0.2">
      <c r="C288" t="s">
        <v>494</v>
      </c>
      <c r="D288">
        <v>57</v>
      </c>
      <c r="E288" t="s">
        <v>176</v>
      </c>
      <c r="F288">
        <v>1000</v>
      </c>
      <c r="G288" t="s">
        <v>18</v>
      </c>
      <c r="H288" t="s">
        <v>95</v>
      </c>
      <c r="I288">
        <v>160</v>
      </c>
      <c r="J288" t="s">
        <v>20</v>
      </c>
      <c r="K288" t="s">
        <v>790</v>
      </c>
      <c r="R288" t="s">
        <v>196</v>
      </c>
      <c r="S288" t="s">
        <v>468</v>
      </c>
      <c r="W288" t="s">
        <v>490</v>
      </c>
      <c r="X288">
        <v>2004</v>
      </c>
      <c r="Y288" t="s">
        <v>495</v>
      </c>
      <c r="AA288" t="s">
        <v>796</v>
      </c>
      <c r="AB288">
        <v>8</v>
      </c>
      <c r="AC288">
        <v>4</v>
      </c>
      <c r="AD288">
        <v>2</v>
      </c>
    </row>
    <row r="289" spans="3:30" x14ac:dyDescent="0.2">
      <c r="C289" t="s">
        <v>496</v>
      </c>
      <c r="D289">
        <v>57</v>
      </c>
      <c r="E289" t="s">
        <v>176</v>
      </c>
      <c r="F289">
        <v>1000</v>
      </c>
      <c r="G289" t="s">
        <v>18</v>
      </c>
      <c r="H289" t="s">
        <v>95</v>
      </c>
      <c r="I289">
        <v>160</v>
      </c>
      <c r="J289" t="s">
        <v>20</v>
      </c>
      <c r="K289" t="s">
        <v>790</v>
      </c>
      <c r="R289" t="s">
        <v>196</v>
      </c>
      <c r="S289" t="s">
        <v>468</v>
      </c>
      <c r="W289" t="s">
        <v>490</v>
      </c>
      <c r="X289">
        <v>2004</v>
      </c>
      <c r="Y289" t="s">
        <v>497</v>
      </c>
      <c r="AA289" t="s">
        <v>796</v>
      </c>
      <c r="AB289">
        <v>8</v>
      </c>
      <c r="AC289">
        <v>4</v>
      </c>
      <c r="AD289">
        <v>2</v>
      </c>
    </row>
    <row r="290" spans="3:30" x14ac:dyDescent="0.2">
      <c r="C290" t="s">
        <v>498</v>
      </c>
      <c r="D290">
        <v>58</v>
      </c>
      <c r="E290" t="s">
        <v>17</v>
      </c>
      <c r="F290">
        <v>973</v>
      </c>
      <c r="G290" t="s">
        <v>18</v>
      </c>
      <c r="H290" t="s">
        <v>95</v>
      </c>
      <c r="I290">
        <v>160</v>
      </c>
      <c r="J290" t="s">
        <v>20</v>
      </c>
      <c r="K290" t="s">
        <v>790</v>
      </c>
      <c r="R290" t="s">
        <v>21</v>
      </c>
      <c r="S290" t="s">
        <v>56</v>
      </c>
      <c r="W290" t="s">
        <v>499</v>
      </c>
      <c r="X290">
        <v>2009</v>
      </c>
      <c r="Y290" t="s">
        <v>500</v>
      </c>
      <c r="AA290" t="s">
        <v>796</v>
      </c>
      <c r="AB290">
        <v>15</v>
      </c>
      <c r="AC290">
        <v>15</v>
      </c>
      <c r="AD290">
        <v>1</v>
      </c>
    </row>
    <row r="291" spans="3:30" x14ac:dyDescent="0.2">
      <c r="C291" t="s">
        <v>498</v>
      </c>
      <c r="D291">
        <v>58</v>
      </c>
      <c r="E291" t="s">
        <v>17</v>
      </c>
      <c r="F291">
        <v>1073</v>
      </c>
      <c r="G291" t="s">
        <v>18</v>
      </c>
      <c r="H291" t="s">
        <v>95</v>
      </c>
      <c r="I291">
        <v>160</v>
      </c>
      <c r="J291" t="s">
        <v>20</v>
      </c>
      <c r="K291" t="s">
        <v>790</v>
      </c>
      <c r="R291" t="s">
        <v>21</v>
      </c>
      <c r="S291" t="s">
        <v>56</v>
      </c>
      <c r="W291" t="s">
        <v>499</v>
      </c>
      <c r="X291">
        <v>2009</v>
      </c>
      <c r="Y291" t="s">
        <v>501</v>
      </c>
      <c r="AA291" t="s">
        <v>796</v>
      </c>
      <c r="AB291">
        <v>15</v>
      </c>
      <c r="AC291">
        <v>15</v>
      </c>
      <c r="AD291">
        <v>1</v>
      </c>
    </row>
    <row r="292" spans="3:30" x14ac:dyDescent="0.2">
      <c r="C292" t="s">
        <v>498</v>
      </c>
      <c r="D292">
        <v>58</v>
      </c>
      <c r="E292" t="s">
        <v>17</v>
      </c>
      <c r="F292">
        <v>1173</v>
      </c>
      <c r="G292" t="s">
        <v>18</v>
      </c>
      <c r="H292" t="s">
        <v>95</v>
      </c>
      <c r="I292">
        <v>160</v>
      </c>
      <c r="J292" t="s">
        <v>20</v>
      </c>
      <c r="K292" t="s">
        <v>790</v>
      </c>
      <c r="R292" t="s">
        <v>21</v>
      </c>
      <c r="S292" t="s">
        <v>56</v>
      </c>
      <c r="W292" t="s">
        <v>499</v>
      </c>
      <c r="X292">
        <v>2009</v>
      </c>
      <c r="Y292" t="s">
        <v>502</v>
      </c>
      <c r="AA292" t="s">
        <v>796</v>
      </c>
      <c r="AB292">
        <v>15</v>
      </c>
      <c r="AC292">
        <v>15</v>
      </c>
      <c r="AD292">
        <v>1</v>
      </c>
    </row>
    <row r="293" spans="3:30" x14ac:dyDescent="0.2">
      <c r="C293" t="s">
        <v>498</v>
      </c>
      <c r="D293">
        <v>58</v>
      </c>
      <c r="E293" t="s">
        <v>17</v>
      </c>
      <c r="F293">
        <v>1273</v>
      </c>
      <c r="G293" t="s">
        <v>18</v>
      </c>
      <c r="H293" t="s">
        <v>95</v>
      </c>
      <c r="I293">
        <v>160</v>
      </c>
      <c r="J293" t="s">
        <v>20</v>
      </c>
      <c r="K293" t="s">
        <v>790</v>
      </c>
      <c r="R293" t="s">
        <v>21</v>
      </c>
      <c r="S293" t="s">
        <v>56</v>
      </c>
      <c r="W293" t="s">
        <v>499</v>
      </c>
      <c r="X293">
        <v>2009</v>
      </c>
      <c r="Y293" t="s">
        <v>503</v>
      </c>
      <c r="AA293" t="s">
        <v>796</v>
      </c>
      <c r="AB293">
        <v>15</v>
      </c>
      <c r="AC293">
        <v>15</v>
      </c>
      <c r="AD293">
        <v>1</v>
      </c>
    </row>
    <row r="294" spans="3:30" x14ac:dyDescent="0.2">
      <c r="C294" t="s">
        <v>504</v>
      </c>
      <c r="D294">
        <v>58</v>
      </c>
      <c r="E294" t="s">
        <v>17</v>
      </c>
      <c r="F294">
        <v>973</v>
      </c>
      <c r="G294" t="s">
        <v>18</v>
      </c>
      <c r="H294" t="s">
        <v>95</v>
      </c>
      <c r="I294">
        <v>160</v>
      </c>
      <c r="J294" t="s">
        <v>20</v>
      </c>
      <c r="K294" t="s">
        <v>790</v>
      </c>
      <c r="R294" t="s">
        <v>21</v>
      </c>
      <c r="S294" t="s">
        <v>56</v>
      </c>
      <c r="W294" t="s">
        <v>499</v>
      </c>
      <c r="X294">
        <v>2009</v>
      </c>
      <c r="Y294" t="s">
        <v>505</v>
      </c>
      <c r="AA294" t="s">
        <v>796</v>
      </c>
      <c r="AB294">
        <v>15</v>
      </c>
      <c r="AC294">
        <v>15</v>
      </c>
      <c r="AD294">
        <v>1</v>
      </c>
    </row>
    <row r="295" spans="3:30" x14ac:dyDescent="0.2">
      <c r="C295" t="s">
        <v>504</v>
      </c>
      <c r="D295">
        <v>58</v>
      </c>
      <c r="E295" t="s">
        <v>17</v>
      </c>
      <c r="F295">
        <v>1073</v>
      </c>
      <c r="G295" t="s">
        <v>18</v>
      </c>
      <c r="H295" t="s">
        <v>95</v>
      </c>
      <c r="I295">
        <v>160</v>
      </c>
      <c r="J295" t="s">
        <v>20</v>
      </c>
      <c r="K295" t="s">
        <v>790</v>
      </c>
      <c r="R295" t="s">
        <v>21</v>
      </c>
      <c r="S295" t="s">
        <v>56</v>
      </c>
      <c r="W295" t="s">
        <v>499</v>
      </c>
      <c r="X295">
        <v>2009</v>
      </c>
      <c r="Y295" t="s">
        <v>506</v>
      </c>
      <c r="AA295" t="s">
        <v>796</v>
      </c>
      <c r="AB295">
        <v>15</v>
      </c>
      <c r="AC295">
        <v>15</v>
      </c>
      <c r="AD295">
        <v>1</v>
      </c>
    </row>
    <row r="296" spans="3:30" x14ac:dyDescent="0.2">
      <c r="C296" t="s">
        <v>504</v>
      </c>
      <c r="D296">
        <v>58</v>
      </c>
      <c r="E296" t="s">
        <v>17</v>
      </c>
      <c r="F296">
        <v>1173</v>
      </c>
      <c r="G296" t="s">
        <v>18</v>
      </c>
      <c r="H296" t="s">
        <v>95</v>
      </c>
      <c r="I296">
        <v>160</v>
      </c>
      <c r="J296" t="s">
        <v>20</v>
      </c>
      <c r="K296" t="s">
        <v>790</v>
      </c>
      <c r="R296" t="s">
        <v>21</v>
      </c>
      <c r="S296" t="s">
        <v>56</v>
      </c>
      <c r="W296" t="s">
        <v>499</v>
      </c>
      <c r="X296">
        <v>2009</v>
      </c>
      <c r="Y296" t="s">
        <v>507</v>
      </c>
      <c r="AA296" t="s">
        <v>796</v>
      </c>
      <c r="AB296">
        <v>15</v>
      </c>
      <c r="AC296">
        <v>15</v>
      </c>
      <c r="AD296">
        <v>1</v>
      </c>
    </row>
    <row r="297" spans="3:30" x14ac:dyDescent="0.2">
      <c r="C297" t="s">
        <v>504</v>
      </c>
      <c r="D297">
        <v>58</v>
      </c>
      <c r="E297" t="s">
        <v>17</v>
      </c>
      <c r="F297">
        <v>1273</v>
      </c>
      <c r="G297" t="s">
        <v>18</v>
      </c>
      <c r="H297" t="s">
        <v>95</v>
      </c>
      <c r="I297">
        <v>160</v>
      </c>
      <c r="J297" t="s">
        <v>20</v>
      </c>
      <c r="K297" t="s">
        <v>790</v>
      </c>
      <c r="R297" t="s">
        <v>21</v>
      </c>
      <c r="S297" t="s">
        <v>56</v>
      </c>
      <c r="W297" t="s">
        <v>499</v>
      </c>
      <c r="X297">
        <v>2009</v>
      </c>
      <c r="Y297" t="s">
        <v>508</v>
      </c>
      <c r="AA297" t="s">
        <v>796</v>
      </c>
      <c r="AB297">
        <v>15</v>
      </c>
      <c r="AC297">
        <v>15</v>
      </c>
      <c r="AD297">
        <v>1</v>
      </c>
    </row>
    <row r="298" spans="3:30" x14ac:dyDescent="0.2">
      <c r="C298" t="s">
        <v>509</v>
      </c>
      <c r="D298">
        <v>58</v>
      </c>
      <c r="E298" t="s">
        <v>17</v>
      </c>
      <c r="F298">
        <v>973</v>
      </c>
      <c r="G298" t="s">
        <v>18</v>
      </c>
      <c r="H298" t="s">
        <v>95</v>
      </c>
      <c r="I298">
        <v>160</v>
      </c>
      <c r="J298" t="s">
        <v>20</v>
      </c>
      <c r="K298" t="s">
        <v>790</v>
      </c>
      <c r="R298" t="s">
        <v>21</v>
      </c>
      <c r="S298" t="s">
        <v>56</v>
      </c>
      <c r="W298" t="s">
        <v>499</v>
      </c>
      <c r="X298">
        <v>2009</v>
      </c>
      <c r="Y298" t="s">
        <v>510</v>
      </c>
      <c r="AA298" t="s">
        <v>796</v>
      </c>
      <c r="AB298">
        <v>15</v>
      </c>
      <c r="AC298">
        <v>15</v>
      </c>
      <c r="AD298">
        <v>1</v>
      </c>
    </row>
    <row r="299" spans="3:30" x14ac:dyDescent="0.2">
      <c r="C299" t="s">
        <v>509</v>
      </c>
      <c r="D299">
        <v>58</v>
      </c>
      <c r="E299" t="s">
        <v>17</v>
      </c>
      <c r="F299">
        <v>1073</v>
      </c>
      <c r="G299" t="s">
        <v>18</v>
      </c>
      <c r="H299" t="s">
        <v>95</v>
      </c>
      <c r="I299">
        <v>160</v>
      </c>
      <c r="J299" t="s">
        <v>20</v>
      </c>
      <c r="K299" t="s">
        <v>790</v>
      </c>
      <c r="R299" t="s">
        <v>21</v>
      </c>
      <c r="S299" t="s">
        <v>56</v>
      </c>
      <c r="W299" t="s">
        <v>499</v>
      </c>
      <c r="X299">
        <v>2009</v>
      </c>
      <c r="Y299" t="s">
        <v>511</v>
      </c>
      <c r="AA299" t="s">
        <v>796</v>
      </c>
      <c r="AB299">
        <v>15</v>
      </c>
      <c r="AC299">
        <v>15</v>
      </c>
      <c r="AD299">
        <v>1</v>
      </c>
    </row>
    <row r="300" spans="3:30" x14ac:dyDescent="0.2">
      <c r="C300" t="s">
        <v>509</v>
      </c>
      <c r="D300">
        <v>58</v>
      </c>
      <c r="E300" t="s">
        <v>17</v>
      </c>
      <c r="F300">
        <v>1173</v>
      </c>
      <c r="G300" t="s">
        <v>18</v>
      </c>
      <c r="H300" t="s">
        <v>95</v>
      </c>
      <c r="I300">
        <v>160</v>
      </c>
      <c r="J300" t="s">
        <v>20</v>
      </c>
      <c r="K300" t="s">
        <v>790</v>
      </c>
      <c r="R300" t="s">
        <v>21</v>
      </c>
      <c r="S300" t="s">
        <v>56</v>
      </c>
      <c r="W300" t="s">
        <v>499</v>
      </c>
      <c r="X300">
        <v>2009</v>
      </c>
      <c r="Y300" t="s">
        <v>512</v>
      </c>
      <c r="AA300" t="s">
        <v>796</v>
      </c>
      <c r="AB300">
        <v>15</v>
      </c>
      <c r="AC300">
        <v>15</v>
      </c>
      <c r="AD300">
        <v>1</v>
      </c>
    </row>
    <row r="301" spans="3:30" x14ac:dyDescent="0.2">
      <c r="C301" t="s">
        <v>509</v>
      </c>
      <c r="D301">
        <v>58</v>
      </c>
      <c r="E301" t="s">
        <v>17</v>
      </c>
      <c r="F301">
        <v>1273</v>
      </c>
      <c r="G301" t="s">
        <v>18</v>
      </c>
      <c r="H301" t="s">
        <v>95</v>
      </c>
      <c r="I301">
        <v>160</v>
      </c>
      <c r="J301" t="s">
        <v>20</v>
      </c>
      <c r="K301" t="s">
        <v>790</v>
      </c>
      <c r="R301" t="s">
        <v>21</v>
      </c>
      <c r="S301" t="s">
        <v>56</v>
      </c>
      <c r="W301" t="s">
        <v>499</v>
      </c>
      <c r="X301">
        <v>2009</v>
      </c>
      <c r="Y301" t="s">
        <v>513</v>
      </c>
      <c r="AA301" t="s">
        <v>796</v>
      </c>
      <c r="AB301">
        <v>15</v>
      </c>
      <c r="AC301">
        <v>15</v>
      </c>
      <c r="AD301">
        <v>1</v>
      </c>
    </row>
    <row r="302" spans="3:30" x14ac:dyDescent="0.2">
      <c r="C302" t="s">
        <v>399</v>
      </c>
      <c r="D302">
        <v>58</v>
      </c>
      <c r="E302" t="s">
        <v>17</v>
      </c>
      <c r="F302">
        <v>973</v>
      </c>
      <c r="G302" t="s">
        <v>18</v>
      </c>
      <c r="H302" t="s">
        <v>95</v>
      </c>
      <c r="I302">
        <v>160</v>
      </c>
      <c r="J302" t="s">
        <v>20</v>
      </c>
      <c r="K302" t="s">
        <v>790</v>
      </c>
      <c r="R302" t="s">
        <v>21</v>
      </c>
      <c r="S302" t="s">
        <v>56</v>
      </c>
      <c r="W302" t="s">
        <v>499</v>
      </c>
      <c r="X302">
        <v>2009</v>
      </c>
      <c r="Y302" t="s">
        <v>514</v>
      </c>
      <c r="AA302" t="s">
        <v>796</v>
      </c>
      <c r="AB302">
        <v>15</v>
      </c>
      <c r="AC302">
        <v>15</v>
      </c>
      <c r="AD302">
        <v>1</v>
      </c>
    </row>
    <row r="303" spans="3:30" x14ac:dyDescent="0.2">
      <c r="C303" t="s">
        <v>399</v>
      </c>
      <c r="D303">
        <v>58</v>
      </c>
      <c r="E303" t="s">
        <v>17</v>
      </c>
      <c r="F303">
        <v>1073</v>
      </c>
      <c r="G303" t="s">
        <v>18</v>
      </c>
      <c r="H303" t="s">
        <v>95</v>
      </c>
      <c r="I303">
        <v>160</v>
      </c>
      <c r="J303" t="s">
        <v>20</v>
      </c>
      <c r="K303" t="s">
        <v>790</v>
      </c>
      <c r="R303" t="s">
        <v>21</v>
      </c>
      <c r="S303" t="s">
        <v>56</v>
      </c>
      <c r="W303" t="s">
        <v>499</v>
      </c>
      <c r="X303">
        <v>2009</v>
      </c>
      <c r="Y303" t="s">
        <v>515</v>
      </c>
      <c r="AA303" t="s">
        <v>796</v>
      </c>
      <c r="AB303">
        <v>15</v>
      </c>
      <c r="AC303">
        <v>15</v>
      </c>
      <c r="AD303">
        <v>1</v>
      </c>
    </row>
    <row r="304" spans="3:30" x14ac:dyDescent="0.2">
      <c r="C304" t="s">
        <v>399</v>
      </c>
      <c r="D304">
        <v>58</v>
      </c>
      <c r="E304" t="s">
        <v>17</v>
      </c>
      <c r="F304">
        <v>1173</v>
      </c>
      <c r="G304" t="s">
        <v>18</v>
      </c>
      <c r="H304" t="s">
        <v>95</v>
      </c>
      <c r="I304">
        <v>160</v>
      </c>
      <c r="J304" t="s">
        <v>20</v>
      </c>
      <c r="K304" t="s">
        <v>790</v>
      </c>
      <c r="R304" t="s">
        <v>21</v>
      </c>
      <c r="S304" t="s">
        <v>56</v>
      </c>
      <c r="W304" t="s">
        <v>499</v>
      </c>
      <c r="X304">
        <v>2009</v>
      </c>
      <c r="Y304" t="s">
        <v>516</v>
      </c>
      <c r="AA304" t="s">
        <v>796</v>
      </c>
      <c r="AB304">
        <v>15</v>
      </c>
      <c r="AC304">
        <v>15</v>
      </c>
      <c r="AD304">
        <v>1</v>
      </c>
    </row>
    <row r="305" spans="3:30" x14ac:dyDescent="0.2">
      <c r="C305" t="s">
        <v>399</v>
      </c>
      <c r="D305">
        <v>58</v>
      </c>
      <c r="E305" t="s">
        <v>17</v>
      </c>
      <c r="F305">
        <v>1273</v>
      </c>
      <c r="G305" t="s">
        <v>18</v>
      </c>
      <c r="H305" t="s">
        <v>95</v>
      </c>
      <c r="I305">
        <v>160</v>
      </c>
      <c r="J305" t="s">
        <v>20</v>
      </c>
      <c r="K305" t="s">
        <v>790</v>
      </c>
      <c r="R305" t="s">
        <v>21</v>
      </c>
      <c r="S305" t="s">
        <v>56</v>
      </c>
      <c r="W305" t="s">
        <v>499</v>
      </c>
      <c r="X305">
        <v>2009</v>
      </c>
      <c r="Y305" t="s">
        <v>517</v>
      </c>
      <c r="AA305" t="s">
        <v>796</v>
      </c>
      <c r="AB305">
        <v>15</v>
      </c>
      <c r="AC305">
        <v>15</v>
      </c>
      <c r="AD305">
        <v>1</v>
      </c>
    </row>
    <row r="306" spans="3:30" x14ac:dyDescent="0.2">
      <c r="C306" t="s">
        <v>518</v>
      </c>
      <c r="D306">
        <v>58</v>
      </c>
      <c r="E306" t="s">
        <v>17</v>
      </c>
      <c r="F306">
        <v>973</v>
      </c>
      <c r="G306" t="s">
        <v>18</v>
      </c>
      <c r="H306" t="s">
        <v>95</v>
      </c>
      <c r="I306">
        <v>160</v>
      </c>
      <c r="J306" t="s">
        <v>20</v>
      </c>
      <c r="K306" t="s">
        <v>790</v>
      </c>
      <c r="R306" t="s">
        <v>21</v>
      </c>
      <c r="S306" t="s">
        <v>56</v>
      </c>
      <c r="W306" t="s">
        <v>499</v>
      </c>
      <c r="X306">
        <v>2009</v>
      </c>
      <c r="Y306" t="s">
        <v>519</v>
      </c>
      <c r="AA306" t="s">
        <v>796</v>
      </c>
      <c r="AB306">
        <v>15</v>
      </c>
      <c r="AC306">
        <v>15</v>
      </c>
      <c r="AD306">
        <v>1</v>
      </c>
    </row>
    <row r="307" spans="3:30" x14ac:dyDescent="0.2">
      <c r="C307" t="s">
        <v>518</v>
      </c>
      <c r="D307">
        <v>58</v>
      </c>
      <c r="E307" t="s">
        <v>17</v>
      </c>
      <c r="F307">
        <v>1073</v>
      </c>
      <c r="G307" t="s">
        <v>18</v>
      </c>
      <c r="H307" t="s">
        <v>95</v>
      </c>
      <c r="I307">
        <v>160</v>
      </c>
      <c r="J307" t="s">
        <v>20</v>
      </c>
      <c r="K307" t="s">
        <v>790</v>
      </c>
      <c r="R307" t="s">
        <v>21</v>
      </c>
      <c r="S307" t="s">
        <v>56</v>
      </c>
      <c r="W307" t="s">
        <v>499</v>
      </c>
      <c r="X307">
        <v>2009</v>
      </c>
      <c r="Y307" t="s">
        <v>520</v>
      </c>
      <c r="AA307" t="s">
        <v>796</v>
      </c>
      <c r="AB307">
        <v>15</v>
      </c>
      <c r="AC307">
        <v>15</v>
      </c>
      <c r="AD307">
        <v>1</v>
      </c>
    </row>
    <row r="308" spans="3:30" x14ac:dyDescent="0.2">
      <c r="C308" t="s">
        <v>518</v>
      </c>
      <c r="D308">
        <v>58</v>
      </c>
      <c r="E308" t="s">
        <v>17</v>
      </c>
      <c r="F308">
        <v>1173</v>
      </c>
      <c r="G308" t="s">
        <v>18</v>
      </c>
      <c r="H308" t="s">
        <v>95</v>
      </c>
      <c r="I308">
        <v>160</v>
      </c>
      <c r="J308" t="s">
        <v>20</v>
      </c>
      <c r="K308" t="s">
        <v>790</v>
      </c>
      <c r="R308" t="s">
        <v>21</v>
      </c>
      <c r="S308" t="s">
        <v>56</v>
      </c>
      <c r="W308" t="s">
        <v>499</v>
      </c>
      <c r="X308">
        <v>2009</v>
      </c>
      <c r="Y308" t="s">
        <v>521</v>
      </c>
      <c r="AA308" t="s">
        <v>796</v>
      </c>
      <c r="AB308">
        <v>15</v>
      </c>
      <c r="AC308">
        <v>15</v>
      </c>
      <c r="AD308">
        <v>1</v>
      </c>
    </row>
    <row r="309" spans="3:30" x14ac:dyDescent="0.2">
      <c r="C309" t="s">
        <v>518</v>
      </c>
      <c r="D309">
        <v>58</v>
      </c>
      <c r="E309" t="s">
        <v>17</v>
      </c>
      <c r="F309">
        <v>1273</v>
      </c>
      <c r="G309" t="s">
        <v>18</v>
      </c>
      <c r="H309" t="s">
        <v>95</v>
      </c>
      <c r="I309">
        <v>160</v>
      </c>
      <c r="J309" t="s">
        <v>20</v>
      </c>
      <c r="K309" t="s">
        <v>790</v>
      </c>
      <c r="R309" t="s">
        <v>21</v>
      </c>
      <c r="S309" t="s">
        <v>56</v>
      </c>
      <c r="W309" t="s">
        <v>499</v>
      </c>
      <c r="X309">
        <v>2009</v>
      </c>
      <c r="Y309" t="s">
        <v>522</v>
      </c>
      <c r="AA309" t="s">
        <v>796</v>
      </c>
      <c r="AB309">
        <v>15</v>
      </c>
      <c r="AC309">
        <v>15</v>
      </c>
      <c r="AD309">
        <v>1</v>
      </c>
    </row>
    <row r="310" spans="3:30" x14ac:dyDescent="0.2">
      <c r="C310" t="s">
        <v>523</v>
      </c>
      <c r="D310">
        <v>59</v>
      </c>
      <c r="E310" t="s">
        <v>17</v>
      </c>
      <c r="F310">
        <v>800</v>
      </c>
      <c r="G310" t="s">
        <v>18</v>
      </c>
      <c r="H310" t="s">
        <v>95</v>
      </c>
      <c r="I310">
        <v>160</v>
      </c>
      <c r="J310" t="s">
        <v>20</v>
      </c>
      <c r="K310" t="s">
        <v>790</v>
      </c>
      <c r="R310" t="s">
        <v>21</v>
      </c>
      <c r="S310" t="s">
        <v>468</v>
      </c>
      <c r="W310" t="s">
        <v>524</v>
      </c>
      <c r="X310">
        <v>2008</v>
      </c>
      <c r="Y310" t="s">
        <v>525</v>
      </c>
      <c r="AA310" t="s">
        <v>796</v>
      </c>
      <c r="AB310">
        <v>10</v>
      </c>
      <c r="AC310">
        <v>4</v>
      </c>
      <c r="AD310">
        <v>3</v>
      </c>
    </row>
    <row r="311" spans="3:30" x14ac:dyDescent="0.2">
      <c r="C311" t="s">
        <v>523</v>
      </c>
      <c r="D311">
        <v>59</v>
      </c>
      <c r="E311" t="s">
        <v>17</v>
      </c>
      <c r="F311">
        <v>1000</v>
      </c>
      <c r="G311" t="s">
        <v>18</v>
      </c>
      <c r="H311" t="s">
        <v>95</v>
      </c>
      <c r="I311">
        <v>160</v>
      </c>
      <c r="J311" t="s">
        <v>20</v>
      </c>
      <c r="K311" t="s">
        <v>790</v>
      </c>
      <c r="O311">
        <v>22.5</v>
      </c>
      <c r="R311" t="s">
        <v>21</v>
      </c>
      <c r="S311" t="s">
        <v>468</v>
      </c>
      <c r="W311" t="s">
        <v>524</v>
      </c>
      <c r="X311">
        <v>2008</v>
      </c>
      <c r="Y311" t="s">
        <v>526</v>
      </c>
      <c r="AA311" t="s">
        <v>796</v>
      </c>
      <c r="AB311">
        <v>10</v>
      </c>
      <c r="AC311">
        <v>4</v>
      </c>
      <c r="AD311">
        <v>3</v>
      </c>
    </row>
    <row r="312" spans="3:30" x14ac:dyDescent="0.2">
      <c r="C312" t="s">
        <v>523</v>
      </c>
      <c r="D312">
        <v>59</v>
      </c>
      <c r="E312" t="s">
        <v>17</v>
      </c>
      <c r="F312">
        <v>1150</v>
      </c>
      <c r="G312" t="s">
        <v>18</v>
      </c>
      <c r="H312" t="s">
        <v>95</v>
      </c>
      <c r="I312">
        <v>160</v>
      </c>
      <c r="J312" t="s">
        <v>20</v>
      </c>
      <c r="K312" t="s">
        <v>790</v>
      </c>
      <c r="O312">
        <v>20</v>
      </c>
      <c r="R312" t="s">
        <v>21</v>
      </c>
      <c r="S312" t="s">
        <v>468</v>
      </c>
      <c r="W312" t="s">
        <v>524</v>
      </c>
      <c r="X312">
        <v>2008</v>
      </c>
      <c r="Y312" t="s">
        <v>527</v>
      </c>
      <c r="AA312" t="s">
        <v>796</v>
      </c>
      <c r="AB312">
        <v>10</v>
      </c>
      <c r="AC312">
        <v>4</v>
      </c>
      <c r="AD312">
        <v>3</v>
      </c>
    </row>
    <row r="313" spans="3:30" x14ac:dyDescent="0.2">
      <c r="C313" t="s">
        <v>528</v>
      </c>
      <c r="D313">
        <v>59</v>
      </c>
      <c r="E313" t="s">
        <v>17</v>
      </c>
      <c r="F313">
        <v>800</v>
      </c>
      <c r="G313" t="s">
        <v>18</v>
      </c>
      <c r="H313" t="s">
        <v>95</v>
      </c>
      <c r="I313">
        <v>160</v>
      </c>
      <c r="J313" t="s">
        <v>20</v>
      </c>
      <c r="K313" t="s">
        <v>790</v>
      </c>
      <c r="O313">
        <v>5.5</v>
      </c>
      <c r="R313" t="s">
        <v>21</v>
      </c>
      <c r="S313" t="s">
        <v>468</v>
      </c>
      <c r="W313" t="s">
        <v>524</v>
      </c>
      <c r="X313">
        <v>2008</v>
      </c>
      <c r="Y313" t="s">
        <v>529</v>
      </c>
      <c r="AA313" t="s">
        <v>796</v>
      </c>
      <c r="AB313">
        <v>10</v>
      </c>
      <c r="AC313">
        <v>4</v>
      </c>
      <c r="AD313">
        <v>3</v>
      </c>
    </row>
    <row r="314" spans="3:30" x14ac:dyDescent="0.2">
      <c r="C314" t="s">
        <v>528</v>
      </c>
      <c r="D314">
        <v>59</v>
      </c>
      <c r="E314" t="s">
        <v>17</v>
      </c>
      <c r="F314">
        <v>1000</v>
      </c>
      <c r="G314" t="s">
        <v>18</v>
      </c>
      <c r="H314" t="s">
        <v>95</v>
      </c>
      <c r="I314">
        <v>160</v>
      </c>
      <c r="J314" t="s">
        <v>20</v>
      </c>
      <c r="K314" t="s">
        <v>790</v>
      </c>
      <c r="R314" t="s">
        <v>21</v>
      </c>
      <c r="S314" t="s">
        <v>468</v>
      </c>
      <c r="W314" s="2" t="s">
        <v>524</v>
      </c>
      <c r="X314">
        <v>2008</v>
      </c>
      <c r="Y314" t="s">
        <v>530</v>
      </c>
      <c r="AA314" t="s">
        <v>796</v>
      </c>
      <c r="AB314">
        <v>10</v>
      </c>
      <c r="AC314">
        <v>4</v>
      </c>
      <c r="AD314">
        <v>3</v>
      </c>
    </row>
    <row r="315" spans="3:30" x14ac:dyDescent="0.2">
      <c r="C315" t="s">
        <v>528</v>
      </c>
      <c r="D315">
        <v>59</v>
      </c>
      <c r="E315" t="s">
        <v>17</v>
      </c>
      <c r="F315">
        <v>1150</v>
      </c>
      <c r="G315" t="s">
        <v>18</v>
      </c>
      <c r="H315" t="s">
        <v>95</v>
      </c>
      <c r="I315">
        <v>160</v>
      </c>
      <c r="J315" t="s">
        <v>20</v>
      </c>
      <c r="K315" t="s">
        <v>790</v>
      </c>
      <c r="R315" t="s">
        <v>21</v>
      </c>
      <c r="S315" t="s">
        <v>468</v>
      </c>
      <c r="W315" t="s">
        <v>524</v>
      </c>
      <c r="X315">
        <v>2008</v>
      </c>
      <c r="Y315" t="s">
        <v>531</v>
      </c>
      <c r="AA315" t="s">
        <v>796</v>
      </c>
      <c r="AB315">
        <v>10</v>
      </c>
      <c r="AC315">
        <v>4</v>
      </c>
      <c r="AD315">
        <v>3</v>
      </c>
    </row>
    <row r="316" spans="3:30" x14ac:dyDescent="0.2">
      <c r="C316" t="s">
        <v>532</v>
      </c>
      <c r="D316">
        <v>59</v>
      </c>
      <c r="E316" t="s">
        <v>17</v>
      </c>
      <c r="F316">
        <v>800</v>
      </c>
      <c r="G316" t="s">
        <v>18</v>
      </c>
      <c r="H316" t="s">
        <v>95</v>
      </c>
      <c r="I316">
        <v>160</v>
      </c>
      <c r="J316" t="s">
        <v>20</v>
      </c>
      <c r="K316" t="s">
        <v>790</v>
      </c>
      <c r="O316">
        <v>8.5</v>
      </c>
      <c r="R316" t="s">
        <v>21</v>
      </c>
      <c r="S316" t="s">
        <v>468</v>
      </c>
      <c r="W316" t="s">
        <v>524</v>
      </c>
      <c r="X316">
        <v>2008</v>
      </c>
      <c r="Y316" t="s">
        <v>533</v>
      </c>
      <c r="AA316" t="s">
        <v>796</v>
      </c>
      <c r="AB316">
        <v>10</v>
      </c>
      <c r="AC316">
        <v>4</v>
      </c>
      <c r="AD316">
        <v>3</v>
      </c>
    </row>
    <row r="317" spans="3:30" x14ac:dyDescent="0.2">
      <c r="C317" t="s">
        <v>532</v>
      </c>
      <c r="D317">
        <v>59</v>
      </c>
      <c r="E317" t="s">
        <v>17</v>
      </c>
      <c r="F317">
        <v>1000</v>
      </c>
      <c r="G317" t="s">
        <v>18</v>
      </c>
      <c r="H317" t="s">
        <v>95</v>
      </c>
      <c r="I317">
        <v>160</v>
      </c>
      <c r="J317" t="s">
        <v>20</v>
      </c>
      <c r="K317" t="s">
        <v>790</v>
      </c>
      <c r="O317">
        <v>20</v>
      </c>
      <c r="R317" t="s">
        <v>21</v>
      </c>
      <c r="S317" t="s">
        <v>468</v>
      </c>
      <c r="W317" t="s">
        <v>524</v>
      </c>
      <c r="X317">
        <v>2008</v>
      </c>
      <c r="Y317" t="s">
        <v>534</v>
      </c>
      <c r="AA317" t="s">
        <v>796</v>
      </c>
      <c r="AB317">
        <v>10</v>
      </c>
      <c r="AC317">
        <v>4</v>
      </c>
      <c r="AD317">
        <v>3</v>
      </c>
    </row>
    <row r="318" spans="3:30" x14ac:dyDescent="0.2">
      <c r="C318" t="s">
        <v>532</v>
      </c>
      <c r="D318">
        <v>59</v>
      </c>
      <c r="E318" t="s">
        <v>17</v>
      </c>
      <c r="F318">
        <v>1150</v>
      </c>
      <c r="G318" t="s">
        <v>18</v>
      </c>
      <c r="H318" t="s">
        <v>95</v>
      </c>
      <c r="I318">
        <v>160</v>
      </c>
      <c r="J318" t="s">
        <v>20</v>
      </c>
      <c r="K318" t="s">
        <v>790</v>
      </c>
      <c r="R318" t="s">
        <v>21</v>
      </c>
      <c r="S318" t="s">
        <v>468</v>
      </c>
      <c r="W318" t="s">
        <v>524</v>
      </c>
      <c r="X318">
        <v>2008</v>
      </c>
      <c r="Y318" t="s">
        <v>535</v>
      </c>
      <c r="AA318" t="s">
        <v>796</v>
      </c>
      <c r="AB318">
        <v>10</v>
      </c>
      <c r="AC318">
        <v>4</v>
      </c>
      <c r="AD318">
        <v>3</v>
      </c>
    </row>
    <row r="319" spans="3:30" x14ac:dyDescent="0.2">
      <c r="C319" t="s">
        <v>536</v>
      </c>
      <c r="D319">
        <v>59</v>
      </c>
      <c r="E319" t="s">
        <v>17</v>
      </c>
      <c r="F319">
        <v>800</v>
      </c>
      <c r="G319" t="s">
        <v>18</v>
      </c>
      <c r="H319" t="s">
        <v>95</v>
      </c>
      <c r="I319">
        <v>160</v>
      </c>
      <c r="J319" t="s">
        <v>20</v>
      </c>
      <c r="K319" t="s">
        <v>790</v>
      </c>
      <c r="O319">
        <v>20</v>
      </c>
      <c r="R319" t="s">
        <v>21</v>
      </c>
      <c r="S319" t="s">
        <v>468</v>
      </c>
      <c r="W319" t="s">
        <v>524</v>
      </c>
      <c r="X319">
        <v>2008</v>
      </c>
      <c r="Y319" t="s">
        <v>537</v>
      </c>
      <c r="AA319" t="s">
        <v>796</v>
      </c>
      <c r="AB319">
        <v>10</v>
      </c>
      <c r="AC319">
        <v>4</v>
      </c>
      <c r="AD319">
        <v>3</v>
      </c>
    </row>
    <row r="320" spans="3:30" x14ac:dyDescent="0.2">
      <c r="C320" t="s">
        <v>536</v>
      </c>
      <c r="D320">
        <v>59</v>
      </c>
      <c r="E320" t="s">
        <v>17</v>
      </c>
      <c r="F320">
        <v>1000</v>
      </c>
      <c r="G320" t="s">
        <v>18</v>
      </c>
      <c r="H320" t="s">
        <v>95</v>
      </c>
      <c r="I320">
        <v>160</v>
      </c>
      <c r="J320" t="s">
        <v>20</v>
      </c>
      <c r="K320" t="s">
        <v>790</v>
      </c>
      <c r="O320">
        <v>8.5</v>
      </c>
      <c r="R320" t="s">
        <v>21</v>
      </c>
      <c r="S320" t="s">
        <v>468</v>
      </c>
      <c r="W320" t="s">
        <v>524</v>
      </c>
      <c r="X320">
        <v>2008</v>
      </c>
      <c r="Y320" t="s">
        <v>538</v>
      </c>
      <c r="AA320" t="s">
        <v>796</v>
      </c>
      <c r="AB320">
        <v>10</v>
      </c>
      <c r="AC320">
        <v>4</v>
      </c>
      <c r="AD320">
        <v>3</v>
      </c>
    </row>
    <row r="321" spans="3:30" x14ac:dyDescent="0.2">
      <c r="C321" t="s">
        <v>536</v>
      </c>
      <c r="D321">
        <v>59</v>
      </c>
      <c r="E321" t="s">
        <v>17</v>
      </c>
      <c r="F321">
        <v>1150</v>
      </c>
      <c r="G321" t="s">
        <v>18</v>
      </c>
      <c r="H321" t="s">
        <v>95</v>
      </c>
      <c r="I321">
        <v>160</v>
      </c>
      <c r="J321" t="s">
        <v>20</v>
      </c>
      <c r="K321" t="s">
        <v>790</v>
      </c>
      <c r="R321" t="s">
        <v>21</v>
      </c>
      <c r="S321" t="s">
        <v>468</v>
      </c>
      <c r="W321" t="s">
        <v>524</v>
      </c>
      <c r="X321">
        <v>2008</v>
      </c>
      <c r="Y321" t="s">
        <v>539</v>
      </c>
      <c r="AA321" t="s">
        <v>796</v>
      </c>
      <c r="AB321">
        <v>10</v>
      </c>
      <c r="AC321">
        <v>4</v>
      </c>
      <c r="AD321">
        <v>3</v>
      </c>
    </row>
    <row r="322" spans="3:30" x14ac:dyDescent="0.2">
      <c r="C322" t="s">
        <v>540</v>
      </c>
      <c r="D322">
        <v>60</v>
      </c>
      <c r="E322" t="s">
        <v>17</v>
      </c>
      <c r="F322">
        <v>800</v>
      </c>
      <c r="G322" t="s">
        <v>18</v>
      </c>
      <c r="H322" t="s">
        <v>95</v>
      </c>
      <c r="I322">
        <v>1</v>
      </c>
      <c r="J322" t="s">
        <v>55</v>
      </c>
      <c r="K322" t="s">
        <v>790</v>
      </c>
      <c r="R322" t="s">
        <v>21</v>
      </c>
      <c r="S322" t="s">
        <v>468</v>
      </c>
      <c r="W322" t="s">
        <v>541</v>
      </c>
      <c r="X322">
        <v>1978</v>
      </c>
      <c r="Y322" t="s">
        <v>542</v>
      </c>
      <c r="AA322" t="s">
        <v>796</v>
      </c>
      <c r="AB322">
        <v>24.85</v>
      </c>
      <c r="AC322">
        <v>9.85</v>
      </c>
      <c r="AD322">
        <v>8.85</v>
      </c>
    </row>
    <row r="323" spans="3:30" x14ac:dyDescent="0.2">
      <c r="C323" t="s">
        <v>540</v>
      </c>
      <c r="D323">
        <v>60</v>
      </c>
      <c r="E323" t="s">
        <v>17</v>
      </c>
      <c r="F323">
        <v>900</v>
      </c>
      <c r="G323" t="s">
        <v>18</v>
      </c>
      <c r="H323" t="s">
        <v>95</v>
      </c>
      <c r="I323">
        <v>1</v>
      </c>
      <c r="J323" t="s">
        <v>55</v>
      </c>
      <c r="K323" t="s">
        <v>790</v>
      </c>
      <c r="R323" t="s">
        <v>21</v>
      </c>
      <c r="S323" t="s">
        <v>468</v>
      </c>
      <c r="W323" t="s">
        <v>541</v>
      </c>
      <c r="X323">
        <v>1978</v>
      </c>
      <c r="Y323" t="s">
        <v>543</v>
      </c>
      <c r="AA323" t="s">
        <v>796</v>
      </c>
      <c r="AB323">
        <v>24.85</v>
      </c>
      <c r="AC323">
        <v>9.85</v>
      </c>
      <c r="AD323">
        <v>8.85</v>
      </c>
    </row>
    <row r="324" spans="3:30" x14ac:dyDescent="0.2">
      <c r="C324" t="s">
        <v>540</v>
      </c>
      <c r="D324">
        <v>60</v>
      </c>
      <c r="E324" t="s">
        <v>17</v>
      </c>
      <c r="F324">
        <v>947</v>
      </c>
      <c r="G324" t="s">
        <v>18</v>
      </c>
      <c r="H324" t="s">
        <v>95</v>
      </c>
      <c r="I324">
        <v>1</v>
      </c>
      <c r="J324" t="s">
        <v>55</v>
      </c>
      <c r="K324" t="s">
        <v>790</v>
      </c>
      <c r="R324" t="s">
        <v>21</v>
      </c>
      <c r="S324" t="s">
        <v>468</v>
      </c>
      <c r="W324" t="s">
        <v>541</v>
      </c>
      <c r="X324">
        <v>1978</v>
      </c>
      <c r="Y324" t="s">
        <v>544</v>
      </c>
      <c r="AA324" t="s">
        <v>796</v>
      </c>
      <c r="AB324">
        <v>24.85</v>
      </c>
      <c r="AC324">
        <v>9.85</v>
      </c>
      <c r="AD324">
        <v>8.85</v>
      </c>
    </row>
    <row r="325" spans="3:30" x14ac:dyDescent="0.2">
      <c r="C325" t="s">
        <v>540</v>
      </c>
      <c r="D325">
        <v>60</v>
      </c>
      <c r="E325" t="s">
        <v>17</v>
      </c>
      <c r="F325">
        <v>1000</v>
      </c>
      <c r="G325" t="s">
        <v>18</v>
      </c>
      <c r="H325" t="s">
        <v>95</v>
      </c>
      <c r="I325">
        <v>1</v>
      </c>
      <c r="J325" t="s">
        <v>55</v>
      </c>
      <c r="K325" t="s">
        <v>790</v>
      </c>
      <c r="R325" t="s">
        <v>21</v>
      </c>
      <c r="S325" t="s">
        <v>468</v>
      </c>
      <c r="W325" t="s">
        <v>541</v>
      </c>
      <c r="X325">
        <v>1978</v>
      </c>
      <c r="Y325" t="s">
        <v>545</v>
      </c>
      <c r="AA325" t="s">
        <v>796</v>
      </c>
      <c r="AB325">
        <v>24.85</v>
      </c>
      <c r="AC325">
        <v>9.85</v>
      </c>
      <c r="AD325">
        <v>8.85</v>
      </c>
    </row>
    <row r="326" spans="3:30" x14ac:dyDescent="0.2">
      <c r="C326" t="s">
        <v>540</v>
      </c>
      <c r="D326">
        <v>60</v>
      </c>
      <c r="E326" t="s">
        <v>17</v>
      </c>
      <c r="F326">
        <v>1050</v>
      </c>
      <c r="G326" t="s">
        <v>18</v>
      </c>
      <c r="H326" t="s">
        <v>95</v>
      </c>
      <c r="I326">
        <v>1</v>
      </c>
      <c r="J326" t="s">
        <v>55</v>
      </c>
      <c r="K326" t="s">
        <v>790</v>
      </c>
      <c r="R326" t="s">
        <v>21</v>
      </c>
      <c r="S326" t="s">
        <v>468</v>
      </c>
      <c r="W326" t="s">
        <v>541</v>
      </c>
      <c r="X326">
        <v>1978</v>
      </c>
      <c r="Y326" t="s">
        <v>546</v>
      </c>
      <c r="AA326" t="s">
        <v>796</v>
      </c>
      <c r="AB326">
        <v>24.85</v>
      </c>
      <c r="AC326">
        <v>9.85</v>
      </c>
      <c r="AD326">
        <v>8.85</v>
      </c>
    </row>
    <row r="327" spans="3:30" x14ac:dyDescent="0.2">
      <c r="C327" t="s">
        <v>540</v>
      </c>
      <c r="D327">
        <v>60</v>
      </c>
      <c r="E327" t="s">
        <v>17</v>
      </c>
      <c r="F327">
        <v>1100</v>
      </c>
      <c r="G327" t="s">
        <v>18</v>
      </c>
      <c r="H327" t="s">
        <v>95</v>
      </c>
      <c r="I327">
        <v>1</v>
      </c>
      <c r="J327" t="s">
        <v>55</v>
      </c>
      <c r="K327" t="s">
        <v>790</v>
      </c>
      <c r="R327" t="s">
        <v>21</v>
      </c>
      <c r="S327" t="s">
        <v>468</v>
      </c>
      <c r="W327" t="s">
        <v>541</v>
      </c>
      <c r="X327">
        <v>1978</v>
      </c>
      <c r="Y327" t="s">
        <v>547</v>
      </c>
      <c r="AA327" t="s">
        <v>796</v>
      </c>
      <c r="AB327">
        <v>24.85</v>
      </c>
      <c r="AC327">
        <v>9.85</v>
      </c>
      <c r="AD327">
        <v>8.85</v>
      </c>
    </row>
    <row r="328" spans="3:30" x14ac:dyDescent="0.2">
      <c r="C328" t="s">
        <v>548</v>
      </c>
      <c r="D328">
        <v>60</v>
      </c>
      <c r="E328" t="s">
        <v>17</v>
      </c>
      <c r="F328">
        <v>800</v>
      </c>
      <c r="G328" t="s">
        <v>18</v>
      </c>
      <c r="H328" t="s">
        <v>95</v>
      </c>
      <c r="I328">
        <v>1</v>
      </c>
      <c r="J328" t="s">
        <v>55</v>
      </c>
      <c r="K328" t="s">
        <v>790</v>
      </c>
      <c r="R328" t="s">
        <v>21</v>
      </c>
      <c r="S328" t="s">
        <v>468</v>
      </c>
      <c r="W328" t="s">
        <v>541</v>
      </c>
      <c r="X328">
        <v>1978</v>
      </c>
      <c r="Y328" t="s">
        <v>549</v>
      </c>
      <c r="AA328" t="s">
        <v>796</v>
      </c>
      <c r="AB328">
        <v>24.85</v>
      </c>
      <c r="AC328">
        <v>9.85</v>
      </c>
      <c r="AD328">
        <v>8.85</v>
      </c>
    </row>
    <row r="329" spans="3:30" x14ac:dyDescent="0.2">
      <c r="C329" t="s">
        <v>548</v>
      </c>
      <c r="D329">
        <v>60</v>
      </c>
      <c r="E329" t="s">
        <v>17</v>
      </c>
      <c r="F329">
        <v>900</v>
      </c>
      <c r="G329" t="s">
        <v>18</v>
      </c>
      <c r="H329" t="s">
        <v>95</v>
      </c>
      <c r="I329">
        <v>1</v>
      </c>
      <c r="J329" t="s">
        <v>55</v>
      </c>
      <c r="K329" t="s">
        <v>790</v>
      </c>
      <c r="R329" t="s">
        <v>21</v>
      </c>
      <c r="S329" t="s">
        <v>468</v>
      </c>
      <c r="W329" t="s">
        <v>541</v>
      </c>
      <c r="X329">
        <v>1978</v>
      </c>
      <c r="Y329" t="s">
        <v>550</v>
      </c>
      <c r="AA329" t="s">
        <v>796</v>
      </c>
      <c r="AB329">
        <v>24.85</v>
      </c>
      <c r="AC329">
        <v>9.85</v>
      </c>
      <c r="AD329">
        <v>8.85</v>
      </c>
    </row>
    <row r="330" spans="3:30" x14ac:dyDescent="0.2">
      <c r="C330" t="s">
        <v>548</v>
      </c>
      <c r="D330">
        <v>60</v>
      </c>
      <c r="E330" t="s">
        <v>17</v>
      </c>
      <c r="F330">
        <v>940</v>
      </c>
      <c r="G330" t="s">
        <v>18</v>
      </c>
      <c r="H330" t="s">
        <v>95</v>
      </c>
      <c r="I330">
        <v>1</v>
      </c>
      <c r="J330" t="s">
        <v>55</v>
      </c>
      <c r="K330" t="s">
        <v>790</v>
      </c>
      <c r="R330" t="s">
        <v>21</v>
      </c>
      <c r="S330" t="s">
        <v>468</v>
      </c>
      <c r="W330" t="s">
        <v>541</v>
      </c>
      <c r="X330">
        <v>1978</v>
      </c>
      <c r="Y330" t="s">
        <v>551</v>
      </c>
      <c r="AA330" t="s">
        <v>796</v>
      </c>
      <c r="AB330">
        <v>24.85</v>
      </c>
      <c r="AC330">
        <v>9.85</v>
      </c>
      <c r="AD330">
        <v>8.85</v>
      </c>
    </row>
    <row r="331" spans="3:30" x14ac:dyDescent="0.2">
      <c r="C331" t="s">
        <v>548</v>
      </c>
      <c r="D331">
        <v>60</v>
      </c>
      <c r="E331" t="s">
        <v>17</v>
      </c>
      <c r="F331">
        <v>1000</v>
      </c>
      <c r="G331" t="s">
        <v>18</v>
      </c>
      <c r="H331" t="s">
        <v>95</v>
      </c>
      <c r="I331">
        <v>1</v>
      </c>
      <c r="J331" t="s">
        <v>55</v>
      </c>
      <c r="K331" t="s">
        <v>790</v>
      </c>
      <c r="R331" t="s">
        <v>21</v>
      </c>
      <c r="S331" t="s">
        <v>468</v>
      </c>
      <c r="W331" t="s">
        <v>541</v>
      </c>
      <c r="X331">
        <v>1978</v>
      </c>
      <c r="Y331" t="s">
        <v>552</v>
      </c>
      <c r="AA331" t="s">
        <v>796</v>
      </c>
      <c r="AB331">
        <v>24.85</v>
      </c>
      <c r="AC331">
        <v>9.85</v>
      </c>
      <c r="AD331">
        <v>8.85</v>
      </c>
    </row>
    <row r="332" spans="3:30" x14ac:dyDescent="0.2">
      <c r="C332" t="s">
        <v>548</v>
      </c>
      <c r="D332">
        <v>60</v>
      </c>
      <c r="E332" t="s">
        <v>17</v>
      </c>
      <c r="F332">
        <v>1050</v>
      </c>
      <c r="G332" t="s">
        <v>18</v>
      </c>
      <c r="H332" t="s">
        <v>95</v>
      </c>
      <c r="I332">
        <v>1</v>
      </c>
      <c r="J332" t="s">
        <v>55</v>
      </c>
      <c r="K332" t="s">
        <v>790</v>
      </c>
      <c r="R332" t="s">
        <v>21</v>
      </c>
      <c r="S332" t="s">
        <v>468</v>
      </c>
      <c r="W332" s="2" t="s">
        <v>541</v>
      </c>
      <c r="X332">
        <v>1978</v>
      </c>
      <c r="Y332" t="s">
        <v>553</v>
      </c>
      <c r="AA332" t="s">
        <v>796</v>
      </c>
      <c r="AB332">
        <v>24.85</v>
      </c>
      <c r="AC332">
        <v>9.85</v>
      </c>
      <c r="AD332">
        <v>8.85</v>
      </c>
    </row>
    <row r="333" spans="3:30" x14ac:dyDescent="0.2">
      <c r="C333" t="s">
        <v>548</v>
      </c>
      <c r="D333">
        <v>60</v>
      </c>
      <c r="E333" t="s">
        <v>17</v>
      </c>
      <c r="F333">
        <v>1100</v>
      </c>
      <c r="G333" t="s">
        <v>18</v>
      </c>
      <c r="H333" t="s">
        <v>95</v>
      </c>
      <c r="I333">
        <v>1</v>
      </c>
      <c r="J333" t="s">
        <v>55</v>
      </c>
      <c r="K333" t="s">
        <v>790</v>
      </c>
      <c r="R333" t="s">
        <v>21</v>
      </c>
      <c r="S333" t="s">
        <v>468</v>
      </c>
      <c r="W333" t="s">
        <v>541</v>
      </c>
      <c r="X333">
        <v>1978</v>
      </c>
      <c r="Y333" t="s">
        <v>554</v>
      </c>
      <c r="AA333" t="s">
        <v>796</v>
      </c>
      <c r="AB333">
        <v>24.85</v>
      </c>
      <c r="AC333">
        <v>9.85</v>
      </c>
      <c r="AD333">
        <v>8.85</v>
      </c>
    </row>
    <row r="334" spans="3:30" x14ac:dyDescent="0.2">
      <c r="C334" t="s">
        <v>555</v>
      </c>
      <c r="D334">
        <v>70</v>
      </c>
      <c r="E334" t="s">
        <v>176</v>
      </c>
      <c r="F334">
        <v>1200</v>
      </c>
      <c r="G334" t="s">
        <v>18</v>
      </c>
      <c r="H334" t="s">
        <v>95</v>
      </c>
      <c r="I334">
        <v>160</v>
      </c>
      <c r="J334" t="s">
        <v>20</v>
      </c>
      <c r="K334" t="s">
        <v>790</v>
      </c>
      <c r="P334" t="s">
        <v>210</v>
      </c>
      <c r="Q334" t="s">
        <v>556</v>
      </c>
      <c r="R334" t="s">
        <v>196</v>
      </c>
      <c r="S334" t="s">
        <v>186</v>
      </c>
      <c r="W334" s="2" t="s">
        <v>557</v>
      </c>
      <c r="X334">
        <v>2021</v>
      </c>
      <c r="Y334" t="s">
        <v>558</v>
      </c>
      <c r="AA334" t="s">
        <v>796</v>
      </c>
      <c r="AB334">
        <v>4.5999999999999996</v>
      </c>
      <c r="AC334">
        <v>4.5999999999999996</v>
      </c>
      <c r="AD334">
        <v>7.5</v>
      </c>
    </row>
    <row r="335" spans="3:30" x14ac:dyDescent="0.2">
      <c r="C335" t="s">
        <v>559</v>
      </c>
      <c r="D335">
        <v>70</v>
      </c>
      <c r="E335" t="s">
        <v>176</v>
      </c>
      <c r="F335">
        <v>1200</v>
      </c>
      <c r="G335" t="s">
        <v>18</v>
      </c>
      <c r="H335" t="s">
        <v>95</v>
      </c>
      <c r="I335">
        <v>160</v>
      </c>
      <c r="J335" t="s">
        <v>20</v>
      </c>
      <c r="K335" t="s">
        <v>790</v>
      </c>
      <c r="P335" t="s">
        <v>210</v>
      </c>
      <c r="Q335" t="s">
        <v>560</v>
      </c>
      <c r="R335" t="s">
        <v>196</v>
      </c>
      <c r="S335" t="s">
        <v>186</v>
      </c>
      <c r="W335" t="s">
        <v>557</v>
      </c>
      <c r="X335">
        <v>2021</v>
      </c>
      <c r="Y335" t="s">
        <v>561</v>
      </c>
      <c r="AA335" t="s">
        <v>796</v>
      </c>
      <c r="AB335">
        <v>4.5999999999999996</v>
      </c>
      <c r="AC335">
        <v>4.5999999999999996</v>
      </c>
      <c r="AD335">
        <v>7.5</v>
      </c>
    </row>
    <row r="336" spans="3:30" x14ac:dyDescent="0.2">
      <c r="C336" t="s">
        <v>562</v>
      </c>
      <c r="D336">
        <v>71</v>
      </c>
      <c r="E336" t="s">
        <v>176</v>
      </c>
      <c r="F336">
        <v>1300</v>
      </c>
      <c r="G336" t="s">
        <v>18</v>
      </c>
      <c r="H336" t="s">
        <v>95</v>
      </c>
      <c r="I336">
        <v>160</v>
      </c>
      <c r="J336" t="s">
        <v>20</v>
      </c>
      <c r="K336" t="s">
        <v>790</v>
      </c>
      <c r="P336" t="s">
        <v>563</v>
      </c>
      <c r="Q336" t="s">
        <v>185</v>
      </c>
      <c r="R336" t="s">
        <v>21</v>
      </c>
      <c r="S336" t="s">
        <v>564</v>
      </c>
      <c r="W336" t="s">
        <v>565</v>
      </c>
      <c r="X336">
        <v>2021</v>
      </c>
      <c r="Y336" t="s">
        <v>566</v>
      </c>
      <c r="AA336" t="s">
        <v>796</v>
      </c>
      <c r="AB336">
        <v>2</v>
      </c>
      <c r="AC336">
        <v>2</v>
      </c>
      <c r="AD336">
        <v>2</v>
      </c>
    </row>
    <row r="337" spans="3:30" x14ac:dyDescent="0.2">
      <c r="C337" t="s">
        <v>567</v>
      </c>
      <c r="D337">
        <v>72</v>
      </c>
      <c r="E337" t="s">
        <v>176</v>
      </c>
      <c r="F337">
        <v>900</v>
      </c>
      <c r="G337" t="s">
        <v>18</v>
      </c>
      <c r="H337" t="s">
        <v>95</v>
      </c>
      <c r="I337">
        <v>160</v>
      </c>
      <c r="J337" t="s">
        <v>20</v>
      </c>
      <c r="K337" t="s">
        <v>790</v>
      </c>
      <c r="P337" t="s">
        <v>568</v>
      </c>
      <c r="Q337" t="s">
        <v>569</v>
      </c>
      <c r="R337" t="s">
        <v>570</v>
      </c>
      <c r="S337" t="s">
        <v>571</v>
      </c>
      <c r="W337" s="2" t="s">
        <v>572</v>
      </c>
      <c r="X337">
        <v>2020</v>
      </c>
      <c r="Y337" t="s">
        <v>573</v>
      </c>
      <c r="AA337" t="s">
        <v>796</v>
      </c>
      <c r="AB337">
        <v>2</v>
      </c>
      <c r="AC337">
        <v>2</v>
      </c>
      <c r="AD337">
        <v>1.5</v>
      </c>
    </row>
    <row r="338" spans="3:30" x14ac:dyDescent="0.2">
      <c r="C338">
        <v>1</v>
      </c>
      <c r="D338">
        <v>72</v>
      </c>
      <c r="E338" t="s">
        <v>176</v>
      </c>
      <c r="F338">
        <v>900</v>
      </c>
      <c r="G338" t="s">
        <v>18</v>
      </c>
      <c r="H338" t="s">
        <v>95</v>
      </c>
      <c r="I338">
        <v>160</v>
      </c>
      <c r="J338" t="s">
        <v>20</v>
      </c>
      <c r="K338" t="s">
        <v>790</v>
      </c>
      <c r="P338" t="s">
        <v>574</v>
      </c>
      <c r="Q338" t="s">
        <v>569</v>
      </c>
      <c r="R338" t="s">
        <v>570</v>
      </c>
      <c r="S338" t="s">
        <v>571</v>
      </c>
      <c r="W338" s="2" t="s">
        <v>572</v>
      </c>
      <c r="X338">
        <v>2020</v>
      </c>
      <c r="Y338" t="s">
        <v>575</v>
      </c>
      <c r="AA338" t="s">
        <v>796</v>
      </c>
      <c r="AB338">
        <v>2</v>
      </c>
      <c r="AC338">
        <v>2</v>
      </c>
      <c r="AD338">
        <v>1.5</v>
      </c>
    </row>
    <row r="339" spans="3:30" x14ac:dyDescent="0.2">
      <c r="C339" t="s">
        <v>576</v>
      </c>
      <c r="D339">
        <v>73</v>
      </c>
      <c r="E339" t="s">
        <v>176</v>
      </c>
      <c r="F339">
        <v>1100</v>
      </c>
      <c r="G339" t="s">
        <v>18</v>
      </c>
      <c r="H339" t="s">
        <v>95</v>
      </c>
      <c r="I339">
        <v>160</v>
      </c>
      <c r="J339" t="s">
        <v>20</v>
      </c>
      <c r="K339" t="s">
        <v>790</v>
      </c>
      <c r="P339" t="s">
        <v>577</v>
      </c>
      <c r="R339" t="s">
        <v>578</v>
      </c>
      <c r="S339" t="s">
        <v>579</v>
      </c>
      <c r="W339" t="s">
        <v>580</v>
      </c>
      <c r="X339">
        <v>2020</v>
      </c>
      <c r="Y339" t="s">
        <v>581</v>
      </c>
      <c r="AA339" t="s">
        <v>796</v>
      </c>
      <c r="AB339">
        <v>10</v>
      </c>
      <c r="AC339">
        <v>10</v>
      </c>
      <c r="AD339">
        <v>5</v>
      </c>
    </row>
    <row r="340" spans="3:30" x14ac:dyDescent="0.2">
      <c r="C340" t="s">
        <v>582</v>
      </c>
      <c r="D340">
        <v>73</v>
      </c>
      <c r="E340" t="s">
        <v>176</v>
      </c>
      <c r="F340">
        <v>1100</v>
      </c>
      <c r="G340" t="s">
        <v>18</v>
      </c>
      <c r="H340" t="s">
        <v>95</v>
      </c>
      <c r="I340">
        <v>160</v>
      </c>
      <c r="J340" t="s">
        <v>20</v>
      </c>
      <c r="K340" t="s">
        <v>790</v>
      </c>
      <c r="P340" t="s">
        <v>577</v>
      </c>
      <c r="R340" t="s">
        <v>578</v>
      </c>
      <c r="S340" t="s">
        <v>579</v>
      </c>
      <c r="W340" s="2" t="s">
        <v>580</v>
      </c>
      <c r="X340">
        <v>2020</v>
      </c>
      <c r="Y340" t="s">
        <v>583</v>
      </c>
      <c r="AA340" t="s">
        <v>796</v>
      </c>
      <c r="AB340">
        <v>10</v>
      </c>
      <c r="AC340">
        <v>10</v>
      </c>
      <c r="AD340">
        <v>5</v>
      </c>
    </row>
    <row r="341" spans="3:30" x14ac:dyDescent="0.2">
      <c r="C341" t="s">
        <v>584</v>
      </c>
      <c r="D341">
        <v>73</v>
      </c>
      <c r="E341" t="s">
        <v>176</v>
      </c>
      <c r="F341">
        <v>1100</v>
      </c>
      <c r="G341" t="s">
        <v>18</v>
      </c>
      <c r="H341" t="s">
        <v>95</v>
      </c>
      <c r="I341">
        <v>160</v>
      </c>
      <c r="J341" t="s">
        <v>20</v>
      </c>
      <c r="K341" t="s">
        <v>790</v>
      </c>
      <c r="P341" t="s">
        <v>577</v>
      </c>
      <c r="R341" t="s">
        <v>578</v>
      </c>
      <c r="S341" t="s">
        <v>579</v>
      </c>
      <c r="W341" t="s">
        <v>580</v>
      </c>
      <c r="X341">
        <v>2020</v>
      </c>
      <c r="Y341" t="s">
        <v>585</v>
      </c>
      <c r="AA341" t="s">
        <v>796</v>
      </c>
      <c r="AB341">
        <v>10</v>
      </c>
      <c r="AC341">
        <v>10</v>
      </c>
      <c r="AD341">
        <v>5</v>
      </c>
    </row>
    <row r="342" spans="3:30" x14ac:dyDescent="0.2">
      <c r="C342" t="s">
        <v>586</v>
      </c>
      <c r="D342">
        <v>74</v>
      </c>
      <c r="E342" t="s">
        <v>176</v>
      </c>
      <c r="F342">
        <v>800</v>
      </c>
      <c r="G342" t="s">
        <v>18</v>
      </c>
      <c r="H342" t="s">
        <v>95</v>
      </c>
      <c r="I342">
        <v>160</v>
      </c>
      <c r="J342" t="s">
        <v>20</v>
      </c>
      <c r="K342" t="s">
        <v>790</v>
      </c>
      <c r="N342">
        <v>315</v>
      </c>
      <c r="P342" t="s">
        <v>587</v>
      </c>
      <c r="Q342" t="s">
        <v>185</v>
      </c>
      <c r="R342" t="s">
        <v>588</v>
      </c>
      <c r="S342" t="s">
        <v>589</v>
      </c>
      <c r="T342" t="s">
        <v>590</v>
      </c>
      <c r="W342" s="2" t="s">
        <v>591</v>
      </c>
      <c r="X342">
        <v>2019</v>
      </c>
      <c r="Y342" t="s">
        <v>592</v>
      </c>
      <c r="AA342" t="s">
        <v>796</v>
      </c>
      <c r="AB342">
        <v>10</v>
      </c>
      <c r="AC342">
        <v>10</v>
      </c>
      <c r="AD342">
        <v>5</v>
      </c>
    </row>
    <row r="343" spans="3:30" x14ac:dyDescent="0.2">
      <c r="C343" t="s">
        <v>586</v>
      </c>
      <c r="D343">
        <v>74</v>
      </c>
      <c r="E343" t="s">
        <v>176</v>
      </c>
      <c r="F343">
        <v>1000</v>
      </c>
      <c r="G343" t="s">
        <v>18</v>
      </c>
      <c r="H343" t="s">
        <v>95</v>
      </c>
      <c r="I343">
        <v>160</v>
      </c>
      <c r="J343" t="s">
        <v>20</v>
      </c>
      <c r="K343" t="s">
        <v>790</v>
      </c>
      <c r="N343">
        <v>123</v>
      </c>
      <c r="P343" t="s">
        <v>593</v>
      </c>
      <c r="Q343" t="s">
        <v>185</v>
      </c>
      <c r="R343" t="s">
        <v>588</v>
      </c>
      <c r="S343" t="s">
        <v>589</v>
      </c>
      <c r="T343" t="s">
        <v>590</v>
      </c>
      <c r="W343" t="s">
        <v>591</v>
      </c>
      <c r="X343">
        <v>2019</v>
      </c>
      <c r="Y343" t="s">
        <v>594</v>
      </c>
      <c r="AA343" t="s">
        <v>796</v>
      </c>
      <c r="AB343">
        <v>10</v>
      </c>
      <c r="AC343">
        <v>10</v>
      </c>
      <c r="AD343">
        <v>5</v>
      </c>
    </row>
    <row r="344" spans="3:30" x14ac:dyDescent="0.2">
      <c r="C344" t="s">
        <v>586</v>
      </c>
      <c r="D344">
        <v>74</v>
      </c>
      <c r="E344" t="s">
        <v>176</v>
      </c>
      <c r="F344">
        <v>1200</v>
      </c>
      <c r="G344" t="s">
        <v>18</v>
      </c>
      <c r="H344" t="s">
        <v>95</v>
      </c>
      <c r="I344">
        <v>160</v>
      </c>
      <c r="J344" t="s">
        <v>20</v>
      </c>
      <c r="K344" t="s">
        <v>790</v>
      </c>
      <c r="N344">
        <v>69</v>
      </c>
      <c r="P344" t="s">
        <v>595</v>
      </c>
      <c r="Q344" t="s">
        <v>185</v>
      </c>
      <c r="R344" t="s">
        <v>588</v>
      </c>
      <c r="S344" t="s">
        <v>589</v>
      </c>
      <c r="T344" t="s">
        <v>590</v>
      </c>
      <c r="W344" t="s">
        <v>591</v>
      </c>
      <c r="X344">
        <v>2019</v>
      </c>
      <c r="Y344" t="s">
        <v>596</v>
      </c>
      <c r="AA344" t="s">
        <v>796</v>
      </c>
      <c r="AB344">
        <v>10</v>
      </c>
      <c r="AC344">
        <v>10</v>
      </c>
      <c r="AD344">
        <v>5</v>
      </c>
    </row>
    <row r="345" spans="3:30" x14ac:dyDescent="0.2">
      <c r="C345" t="s">
        <v>597</v>
      </c>
      <c r="D345">
        <v>76</v>
      </c>
      <c r="E345" t="s">
        <v>176</v>
      </c>
      <c r="F345">
        <v>1000</v>
      </c>
      <c r="G345" t="s">
        <v>18</v>
      </c>
      <c r="H345" t="s">
        <v>95</v>
      </c>
      <c r="I345">
        <v>160</v>
      </c>
      <c r="J345" t="s">
        <v>20</v>
      </c>
      <c r="K345" t="s">
        <v>790</v>
      </c>
      <c r="R345" t="s">
        <v>196</v>
      </c>
      <c r="S345" t="s">
        <v>197</v>
      </c>
      <c r="T345" t="s">
        <v>598</v>
      </c>
      <c r="U345" t="s">
        <v>599</v>
      </c>
      <c r="W345" t="s">
        <v>600</v>
      </c>
      <c r="X345">
        <v>2020</v>
      </c>
      <c r="Y345" t="s">
        <v>601</v>
      </c>
      <c r="AA345" t="s">
        <v>796</v>
      </c>
      <c r="AB345">
        <v>5</v>
      </c>
      <c r="AC345">
        <v>5</v>
      </c>
      <c r="AD345">
        <v>5</v>
      </c>
    </row>
    <row r="346" spans="3:30" x14ac:dyDescent="0.2">
      <c r="C346" t="s">
        <v>597</v>
      </c>
      <c r="D346">
        <v>76</v>
      </c>
      <c r="E346" t="s">
        <v>176</v>
      </c>
      <c r="F346">
        <v>1200</v>
      </c>
      <c r="G346" t="s">
        <v>18</v>
      </c>
      <c r="H346" t="s">
        <v>95</v>
      </c>
      <c r="I346">
        <v>160</v>
      </c>
      <c r="J346" t="s">
        <v>20</v>
      </c>
      <c r="K346" t="s">
        <v>790</v>
      </c>
      <c r="R346" t="s">
        <v>196</v>
      </c>
      <c r="S346" t="s">
        <v>197</v>
      </c>
      <c r="T346" t="s">
        <v>598</v>
      </c>
      <c r="U346" t="s">
        <v>599</v>
      </c>
      <c r="W346" s="2" t="s">
        <v>600</v>
      </c>
      <c r="X346">
        <v>2020</v>
      </c>
      <c r="Y346" t="s">
        <v>602</v>
      </c>
      <c r="AA346" t="s">
        <v>796</v>
      </c>
      <c r="AB346">
        <v>5</v>
      </c>
      <c r="AC346">
        <v>5</v>
      </c>
      <c r="AD346">
        <v>5</v>
      </c>
    </row>
    <row r="347" spans="3:30" x14ac:dyDescent="0.2">
      <c r="C347" t="s">
        <v>597</v>
      </c>
      <c r="D347">
        <v>76</v>
      </c>
      <c r="E347" t="s">
        <v>176</v>
      </c>
      <c r="F347">
        <v>1400</v>
      </c>
      <c r="G347" t="s">
        <v>18</v>
      </c>
      <c r="H347" t="s">
        <v>95</v>
      </c>
      <c r="I347">
        <v>160</v>
      </c>
      <c r="J347" t="s">
        <v>20</v>
      </c>
      <c r="K347" t="s">
        <v>790</v>
      </c>
      <c r="R347" t="s">
        <v>196</v>
      </c>
      <c r="S347" t="s">
        <v>197</v>
      </c>
      <c r="T347" t="s">
        <v>598</v>
      </c>
      <c r="U347" t="s">
        <v>599</v>
      </c>
      <c r="W347" s="2" t="s">
        <v>600</v>
      </c>
      <c r="X347">
        <v>2020</v>
      </c>
      <c r="Y347" t="s">
        <v>603</v>
      </c>
      <c r="AA347" t="s">
        <v>796</v>
      </c>
      <c r="AB347">
        <v>5</v>
      </c>
      <c r="AC347">
        <v>5</v>
      </c>
      <c r="AD347">
        <v>5</v>
      </c>
    </row>
    <row r="348" spans="3:30" x14ac:dyDescent="0.2">
      <c r="C348" t="s">
        <v>604</v>
      </c>
      <c r="D348">
        <v>77</v>
      </c>
      <c r="E348" t="s">
        <v>176</v>
      </c>
      <c r="F348">
        <v>800</v>
      </c>
      <c r="G348" t="s">
        <v>18</v>
      </c>
      <c r="H348" t="s">
        <v>95</v>
      </c>
      <c r="I348">
        <v>160</v>
      </c>
      <c r="J348" t="s">
        <v>20</v>
      </c>
      <c r="K348" t="s">
        <v>790</v>
      </c>
      <c r="N348">
        <v>38</v>
      </c>
      <c r="P348" t="s">
        <v>605</v>
      </c>
      <c r="R348" t="s">
        <v>578</v>
      </c>
      <c r="S348" t="s">
        <v>606</v>
      </c>
      <c r="T348" t="s">
        <v>607</v>
      </c>
      <c r="W348" t="s">
        <v>608</v>
      </c>
      <c r="X348">
        <v>2019</v>
      </c>
      <c r="Y348" t="s">
        <v>609</v>
      </c>
      <c r="AA348" t="s">
        <v>796</v>
      </c>
      <c r="AB348">
        <v>15</v>
      </c>
      <c r="AC348">
        <v>10</v>
      </c>
      <c r="AD348">
        <v>1</v>
      </c>
    </row>
    <row r="349" spans="3:30" x14ac:dyDescent="0.2">
      <c r="C349" t="s">
        <v>610</v>
      </c>
      <c r="D349">
        <v>77</v>
      </c>
      <c r="E349" t="s">
        <v>176</v>
      </c>
      <c r="F349">
        <v>800</v>
      </c>
      <c r="G349" t="s">
        <v>18</v>
      </c>
      <c r="H349" t="s">
        <v>95</v>
      </c>
      <c r="I349">
        <v>160</v>
      </c>
      <c r="J349" t="s">
        <v>20</v>
      </c>
      <c r="K349" t="s">
        <v>790</v>
      </c>
      <c r="N349">
        <v>66</v>
      </c>
      <c r="P349" t="s">
        <v>605</v>
      </c>
      <c r="R349" t="s">
        <v>578</v>
      </c>
      <c r="S349" t="s">
        <v>606</v>
      </c>
      <c r="T349" t="s">
        <v>607</v>
      </c>
      <c r="W349" s="2" t="s">
        <v>608</v>
      </c>
      <c r="X349">
        <v>2019</v>
      </c>
      <c r="Y349" t="s">
        <v>611</v>
      </c>
      <c r="AA349" t="s">
        <v>796</v>
      </c>
      <c r="AB349">
        <v>15</v>
      </c>
      <c r="AC349">
        <v>10</v>
      </c>
      <c r="AD349">
        <v>1</v>
      </c>
    </row>
    <row r="350" spans="3:30" x14ac:dyDescent="0.2">
      <c r="C350" t="s">
        <v>612</v>
      </c>
      <c r="D350">
        <v>78</v>
      </c>
      <c r="E350" t="s">
        <v>176</v>
      </c>
      <c r="F350">
        <v>1000</v>
      </c>
      <c r="G350" t="s">
        <v>18</v>
      </c>
      <c r="H350" t="s">
        <v>95</v>
      </c>
      <c r="I350">
        <v>160</v>
      </c>
      <c r="J350" t="s">
        <v>20</v>
      </c>
      <c r="K350" t="s">
        <v>790</v>
      </c>
      <c r="N350">
        <v>1018</v>
      </c>
      <c r="P350" t="s">
        <v>613</v>
      </c>
      <c r="R350" t="s">
        <v>196</v>
      </c>
      <c r="S350" t="s">
        <v>614</v>
      </c>
      <c r="T350" t="s">
        <v>615</v>
      </c>
      <c r="V350">
        <v>48</v>
      </c>
      <c r="W350" t="s">
        <v>616</v>
      </c>
      <c r="X350">
        <v>2020</v>
      </c>
      <c r="Y350" t="s">
        <v>617</v>
      </c>
      <c r="AA350" t="s">
        <v>796</v>
      </c>
      <c r="AB350">
        <v>10</v>
      </c>
      <c r="AC350">
        <v>10</v>
      </c>
      <c r="AD350">
        <v>4</v>
      </c>
    </row>
    <row r="351" spans="3:30" x14ac:dyDescent="0.2">
      <c r="C351" t="s">
        <v>618</v>
      </c>
      <c r="D351">
        <v>78</v>
      </c>
      <c r="E351" t="s">
        <v>176</v>
      </c>
      <c r="F351">
        <v>1000</v>
      </c>
      <c r="G351" t="s">
        <v>18</v>
      </c>
      <c r="H351" t="s">
        <v>95</v>
      </c>
      <c r="I351">
        <v>160</v>
      </c>
      <c r="J351" t="s">
        <v>20</v>
      </c>
      <c r="K351" t="s">
        <v>790</v>
      </c>
      <c r="N351">
        <v>921</v>
      </c>
      <c r="P351" t="s">
        <v>619</v>
      </c>
      <c r="R351" t="s">
        <v>196</v>
      </c>
      <c r="S351" t="s">
        <v>614</v>
      </c>
      <c r="T351" t="s">
        <v>615</v>
      </c>
      <c r="V351">
        <v>40</v>
      </c>
      <c r="W351" t="s">
        <v>616</v>
      </c>
      <c r="X351">
        <v>2020</v>
      </c>
      <c r="Y351" t="s">
        <v>773</v>
      </c>
      <c r="AA351" t="s">
        <v>796</v>
      </c>
      <c r="AB351">
        <v>10</v>
      </c>
      <c r="AC351">
        <v>10</v>
      </c>
      <c r="AD351">
        <v>4</v>
      </c>
    </row>
    <row r="352" spans="3:30" x14ac:dyDescent="0.2">
      <c r="C352" t="s">
        <v>620</v>
      </c>
      <c r="D352">
        <v>78</v>
      </c>
      <c r="E352" t="s">
        <v>176</v>
      </c>
      <c r="F352">
        <v>1000</v>
      </c>
      <c r="G352" t="s">
        <v>18</v>
      </c>
      <c r="H352" t="s">
        <v>95</v>
      </c>
      <c r="I352">
        <v>160</v>
      </c>
      <c r="J352" t="s">
        <v>20</v>
      </c>
      <c r="K352" t="s">
        <v>790</v>
      </c>
      <c r="N352">
        <v>875</v>
      </c>
      <c r="P352" t="s">
        <v>619</v>
      </c>
      <c r="R352" t="s">
        <v>196</v>
      </c>
      <c r="S352" t="s">
        <v>614</v>
      </c>
      <c r="T352" t="s">
        <v>615</v>
      </c>
      <c r="V352">
        <v>28</v>
      </c>
      <c r="W352" t="s">
        <v>616</v>
      </c>
      <c r="X352">
        <v>2020</v>
      </c>
      <c r="Y352" t="s">
        <v>621</v>
      </c>
      <c r="AA352" t="s">
        <v>796</v>
      </c>
      <c r="AB352">
        <v>10</v>
      </c>
      <c r="AC352">
        <v>10</v>
      </c>
      <c r="AD352">
        <v>4</v>
      </c>
    </row>
    <row r="353" spans="3:30" x14ac:dyDescent="0.2">
      <c r="C353" t="s">
        <v>622</v>
      </c>
      <c r="D353">
        <v>78</v>
      </c>
      <c r="E353" t="s">
        <v>176</v>
      </c>
      <c r="F353">
        <v>1000</v>
      </c>
      <c r="G353" t="s">
        <v>18</v>
      </c>
      <c r="H353" t="s">
        <v>95</v>
      </c>
      <c r="I353">
        <v>160</v>
      </c>
      <c r="J353" t="s">
        <v>20</v>
      </c>
      <c r="K353" t="s">
        <v>790</v>
      </c>
      <c r="N353">
        <v>755</v>
      </c>
      <c r="P353" t="s">
        <v>619</v>
      </c>
      <c r="R353" t="s">
        <v>196</v>
      </c>
      <c r="S353" t="s">
        <v>614</v>
      </c>
      <c r="T353" t="s">
        <v>615</v>
      </c>
      <c r="V353">
        <v>20</v>
      </c>
      <c r="W353" t="s">
        <v>616</v>
      </c>
      <c r="X353">
        <v>2020</v>
      </c>
      <c r="Y353" t="s">
        <v>623</v>
      </c>
      <c r="AA353" t="s">
        <v>796</v>
      </c>
      <c r="AB353">
        <v>10</v>
      </c>
      <c r="AC353">
        <v>10</v>
      </c>
      <c r="AD353">
        <v>4</v>
      </c>
    </row>
    <row r="354" spans="3:30" x14ac:dyDescent="0.2">
      <c r="C354" t="s">
        <v>624</v>
      </c>
      <c r="D354">
        <v>79</v>
      </c>
      <c r="E354" t="s">
        <v>176</v>
      </c>
      <c r="F354">
        <v>600</v>
      </c>
      <c r="G354" t="s">
        <v>18</v>
      </c>
      <c r="H354" t="s">
        <v>95</v>
      </c>
      <c r="I354">
        <v>160</v>
      </c>
      <c r="J354" t="s">
        <v>20</v>
      </c>
      <c r="K354" t="s">
        <v>790</v>
      </c>
      <c r="N354" t="s">
        <v>625</v>
      </c>
      <c r="P354" t="s">
        <v>626</v>
      </c>
      <c r="R354" t="s">
        <v>588</v>
      </c>
      <c r="S354" t="s">
        <v>627</v>
      </c>
      <c r="T354" t="s">
        <v>607</v>
      </c>
      <c r="W354" s="2" t="s">
        <v>628</v>
      </c>
      <c r="X354">
        <v>2018</v>
      </c>
      <c r="Y354" t="s">
        <v>629</v>
      </c>
      <c r="AA354" t="s">
        <v>796</v>
      </c>
      <c r="AB354">
        <v>7</v>
      </c>
      <c r="AC354">
        <v>7</v>
      </c>
      <c r="AD354">
        <v>2.5</v>
      </c>
    </row>
    <row r="355" spans="3:30" x14ac:dyDescent="0.2">
      <c r="C355" t="s">
        <v>624</v>
      </c>
      <c r="D355">
        <v>79</v>
      </c>
      <c r="E355" t="s">
        <v>176</v>
      </c>
      <c r="F355">
        <v>700</v>
      </c>
      <c r="G355" t="s">
        <v>18</v>
      </c>
      <c r="H355" t="s">
        <v>95</v>
      </c>
      <c r="I355">
        <v>160</v>
      </c>
      <c r="J355" t="s">
        <v>20</v>
      </c>
      <c r="K355" t="s">
        <v>790</v>
      </c>
      <c r="R355" t="s">
        <v>588</v>
      </c>
      <c r="S355" t="s">
        <v>627</v>
      </c>
      <c r="T355" t="s">
        <v>607</v>
      </c>
      <c r="W355" s="2" t="s">
        <v>628</v>
      </c>
      <c r="X355">
        <v>2018</v>
      </c>
      <c r="Y355" t="s">
        <v>630</v>
      </c>
      <c r="AA355" t="s">
        <v>796</v>
      </c>
      <c r="AB355">
        <v>7</v>
      </c>
      <c r="AC355">
        <v>7</v>
      </c>
      <c r="AD355">
        <v>2.5</v>
      </c>
    </row>
    <row r="356" spans="3:30" x14ac:dyDescent="0.2">
      <c r="C356" t="s">
        <v>624</v>
      </c>
      <c r="D356">
        <v>79</v>
      </c>
      <c r="E356" t="s">
        <v>176</v>
      </c>
      <c r="F356">
        <v>800</v>
      </c>
      <c r="G356" t="s">
        <v>18</v>
      </c>
      <c r="H356" t="s">
        <v>95</v>
      </c>
      <c r="I356">
        <v>160</v>
      </c>
      <c r="J356" t="s">
        <v>20</v>
      </c>
      <c r="K356" t="s">
        <v>790</v>
      </c>
      <c r="N356">
        <v>800</v>
      </c>
      <c r="P356" t="s">
        <v>631</v>
      </c>
      <c r="R356" t="s">
        <v>588</v>
      </c>
      <c r="S356" t="s">
        <v>627</v>
      </c>
      <c r="T356" t="s">
        <v>607</v>
      </c>
      <c r="W356" s="2" t="s">
        <v>628</v>
      </c>
      <c r="X356">
        <v>2018</v>
      </c>
      <c r="Y356" t="s">
        <v>632</v>
      </c>
      <c r="AA356" t="s">
        <v>796</v>
      </c>
      <c r="AB356">
        <v>7</v>
      </c>
      <c r="AC356">
        <v>7</v>
      </c>
      <c r="AD356">
        <v>2.5</v>
      </c>
    </row>
    <row r="357" spans="3:30" x14ac:dyDescent="0.2">
      <c r="C357" t="s">
        <v>624</v>
      </c>
      <c r="D357">
        <v>79</v>
      </c>
      <c r="E357" t="s">
        <v>176</v>
      </c>
      <c r="F357">
        <v>900</v>
      </c>
      <c r="G357" t="s">
        <v>18</v>
      </c>
      <c r="H357" t="s">
        <v>95</v>
      </c>
      <c r="I357">
        <v>160</v>
      </c>
      <c r="J357" t="s">
        <v>20</v>
      </c>
      <c r="K357" t="s">
        <v>790</v>
      </c>
      <c r="P357" t="s">
        <v>633</v>
      </c>
      <c r="R357" t="s">
        <v>588</v>
      </c>
      <c r="S357" t="s">
        <v>627</v>
      </c>
      <c r="T357" t="s">
        <v>607</v>
      </c>
      <c r="W357" t="s">
        <v>628</v>
      </c>
      <c r="X357">
        <v>2018</v>
      </c>
      <c r="Y357" t="s">
        <v>634</v>
      </c>
      <c r="AA357" t="s">
        <v>796</v>
      </c>
      <c r="AB357">
        <v>7</v>
      </c>
      <c r="AC357">
        <v>7</v>
      </c>
      <c r="AD357">
        <v>2.5</v>
      </c>
    </row>
    <row r="358" spans="3:30" x14ac:dyDescent="0.2">
      <c r="C358" t="s">
        <v>635</v>
      </c>
      <c r="D358">
        <v>80</v>
      </c>
      <c r="E358" t="s">
        <v>176</v>
      </c>
      <c r="F358">
        <v>1000</v>
      </c>
      <c r="G358" t="s">
        <v>79</v>
      </c>
      <c r="H358" t="s">
        <v>95</v>
      </c>
      <c r="I358">
        <v>160</v>
      </c>
      <c r="J358" t="s">
        <v>20</v>
      </c>
      <c r="K358" t="s">
        <v>790</v>
      </c>
      <c r="N358">
        <v>4</v>
      </c>
      <c r="P358" t="s">
        <v>636</v>
      </c>
      <c r="T358" t="s">
        <v>598</v>
      </c>
      <c r="W358" t="s">
        <v>637</v>
      </c>
      <c r="X358">
        <v>2019</v>
      </c>
      <c r="Y358" t="s">
        <v>638</v>
      </c>
      <c r="AA358" t="s">
        <v>796</v>
      </c>
      <c r="AB358">
        <v>15</v>
      </c>
      <c r="AC358">
        <v>15</v>
      </c>
      <c r="AD358">
        <v>15</v>
      </c>
    </row>
    <row r="359" spans="3:30" x14ac:dyDescent="0.2">
      <c r="C359" t="s">
        <v>639</v>
      </c>
      <c r="D359">
        <v>80</v>
      </c>
      <c r="E359" t="s">
        <v>176</v>
      </c>
      <c r="F359">
        <v>1000</v>
      </c>
      <c r="G359" t="s">
        <v>79</v>
      </c>
      <c r="H359" t="s">
        <v>95</v>
      </c>
      <c r="I359">
        <v>160</v>
      </c>
      <c r="J359" t="s">
        <v>20</v>
      </c>
      <c r="K359" t="s">
        <v>790</v>
      </c>
      <c r="N359">
        <v>4</v>
      </c>
      <c r="P359" t="s">
        <v>636</v>
      </c>
      <c r="T359" t="s">
        <v>598</v>
      </c>
      <c r="W359" s="2" t="s">
        <v>637</v>
      </c>
      <c r="X359">
        <v>2019</v>
      </c>
      <c r="Y359" t="s">
        <v>640</v>
      </c>
      <c r="AA359" t="s">
        <v>796</v>
      </c>
      <c r="AB359">
        <v>15</v>
      </c>
      <c r="AC359">
        <v>15</v>
      </c>
      <c r="AD359">
        <v>15</v>
      </c>
    </row>
    <row r="360" spans="3:30" x14ac:dyDescent="0.2">
      <c r="C360" t="s">
        <v>641</v>
      </c>
      <c r="D360">
        <v>80</v>
      </c>
      <c r="E360" t="s">
        <v>176</v>
      </c>
      <c r="F360">
        <v>1000</v>
      </c>
      <c r="G360" t="s">
        <v>79</v>
      </c>
      <c r="H360" t="s">
        <v>95</v>
      </c>
      <c r="I360">
        <v>160</v>
      </c>
      <c r="J360" t="s">
        <v>20</v>
      </c>
      <c r="K360" t="s">
        <v>790</v>
      </c>
      <c r="N360">
        <v>4</v>
      </c>
      <c r="P360" t="s">
        <v>636</v>
      </c>
      <c r="T360" t="s">
        <v>598</v>
      </c>
      <c r="W360" t="s">
        <v>637</v>
      </c>
      <c r="X360">
        <v>2019</v>
      </c>
      <c r="Y360" t="s">
        <v>642</v>
      </c>
      <c r="AA360" t="s">
        <v>796</v>
      </c>
      <c r="AB360">
        <v>15</v>
      </c>
      <c r="AC360">
        <v>15</v>
      </c>
      <c r="AD360">
        <v>15</v>
      </c>
    </row>
    <row r="361" spans="3:30" x14ac:dyDescent="0.2">
      <c r="C361" t="s">
        <v>643</v>
      </c>
      <c r="D361">
        <v>80</v>
      </c>
      <c r="E361" t="s">
        <v>176</v>
      </c>
      <c r="F361">
        <v>1000</v>
      </c>
      <c r="G361" t="s">
        <v>79</v>
      </c>
      <c r="H361" t="s">
        <v>95</v>
      </c>
      <c r="I361">
        <v>160</v>
      </c>
      <c r="J361" t="s">
        <v>20</v>
      </c>
      <c r="K361" t="s">
        <v>790</v>
      </c>
      <c r="N361">
        <v>4</v>
      </c>
      <c r="P361" t="s">
        <v>636</v>
      </c>
      <c r="T361" t="s">
        <v>598</v>
      </c>
      <c r="W361" t="s">
        <v>637</v>
      </c>
      <c r="X361">
        <v>2019</v>
      </c>
      <c r="Y361" t="s">
        <v>644</v>
      </c>
      <c r="AA361" t="s">
        <v>796</v>
      </c>
      <c r="AB361">
        <v>15</v>
      </c>
      <c r="AC361">
        <v>15</v>
      </c>
      <c r="AD361">
        <v>15</v>
      </c>
    </row>
    <row r="362" spans="3:30" x14ac:dyDescent="0.2">
      <c r="C362" t="s">
        <v>645</v>
      </c>
      <c r="D362">
        <v>80</v>
      </c>
      <c r="E362" t="s">
        <v>176</v>
      </c>
      <c r="F362">
        <v>1000</v>
      </c>
      <c r="G362" t="s">
        <v>79</v>
      </c>
      <c r="H362" t="s">
        <v>95</v>
      </c>
      <c r="I362">
        <v>160</v>
      </c>
      <c r="J362" t="s">
        <v>20</v>
      </c>
      <c r="K362" t="s">
        <v>790</v>
      </c>
      <c r="N362" t="s">
        <v>646</v>
      </c>
      <c r="P362" t="s">
        <v>647</v>
      </c>
      <c r="T362" t="s">
        <v>598</v>
      </c>
      <c r="W362" t="s">
        <v>637</v>
      </c>
      <c r="X362">
        <v>2019</v>
      </c>
      <c r="Y362" t="s">
        <v>774</v>
      </c>
      <c r="AA362" t="s">
        <v>796</v>
      </c>
      <c r="AB362">
        <v>15</v>
      </c>
      <c r="AC362">
        <v>15</v>
      </c>
      <c r="AD362">
        <v>15</v>
      </c>
    </row>
    <row r="363" spans="3:30" x14ac:dyDescent="0.2">
      <c r="C363" t="s">
        <v>648</v>
      </c>
      <c r="D363">
        <v>81</v>
      </c>
      <c r="E363" t="s">
        <v>176</v>
      </c>
      <c r="F363">
        <v>1000</v>
      </c>
      <c r="G363" t="s">
        <v>18</v>
      </c>
      <c r="H363" t="s">
        <v>95</v>
      </c>
      <c r="I363">
        <v>160</v>
      </c>
      <c r="J363" t="s">
        <v>20</v>
      </c>
      <c r="K363" t="s">
        <v>790</v>
      </c>
      <c r="L363">
        <v>10</v>
      </c>
      <c r="Q363" t="s">
        <v>195</v>
      </c>
      <c r="R363" t="s">
        <v>649</v>
      </c>
      <c r="U363" t="s">
        <v>650</v>
      </c>
      <c r="W363" t="s">
        <v>651</v>
      </c>
      <c r="X363">
        <v>2020</v>
      </c>
      <c r="Y363" t="s">
        <v>652</v>
      </c>
      <c r="AA363" t="s">
        <v>796</v>
      </c>
      <c r="AB363">
        <v>5</v>
      </c>
      <c r="AC363">
        <v>5</v>
      </c>
      <c r="AD363">
        <v>5</v>
      </c>
    </row>
    <row r="364" spans="3:30" x14ac:dyDescent="0.2">
      <c r="C364" t="s">
        <v>653</v>
      </c>
      <c r="D364">
        <v>81</v>
      </c>
      <c r="E364" t="s">
        <v>176</v>
      </c>
      <c r="F364">
        <v>1000</v>
      </c>
      <c r="G364" t="s">
        <v>18</v>
      </c>
      <c r="H364" t="s">
        <v>95</v>
      </c>
      <c r="I364">
        <v>160</v>
      </c>
      <c r="J364" t="s">
        <v>20</v>
      </c>
      <c r="K364" t="s">
        <v>790</v>
      </c>
      <c r="L364">
        <v>10</v>
      </c>
      <c r="Q364" t="s">
        <v>195</v>
      </c>
      <c r="R364" t="s">
        <v>649</v>
      </c>
      <c r="U364" t="s">
        <v>650</v>
      </c>
      <c r="W364" t="s">
        <v>651</v>
      </c>
      <c r="X364">
        <v>2020</v>
      </c>
      <c r="Y364" t="s">
        <v>654</v>
      </c>
      <c r="AA364" t="s">
        <v>796</v>
      </c>
      <c r="AB364">
        <v>5</v>
      </c>
      <c r="AC364">
        <v>5</v>
      </c>
      <c r="AD364">
        <v>5</v>
      </c>
    </row>
    <row r="365" spans="3:30" x14ac:dyDescent="0.2">
      <c r="C365" t="s">
        <v>655</v>
      </c>
      <c r="D365">
        <v>81</v>
      </c>
      <c r="E365" t="s">
        <v>176</v>
      </c>
      <c r="F365">
        <v>1000</v>
      </c>
      <c r="G365" t="s">
        <v>18</v>
      </c>
      <c r="H365" t="s">
        <v>95</v>
      </c>
      <c r="I365">
        <v>160</v>
      </c>
      <c r="J365" t="s">
        <v>20</v>
      </c>
      <c r="K365" t="s">
        <v>790</v>
      </c>
      <c r="N365">
        <v>20</v>
      </c>
      <c r="P365" t="s">
        <v>656</v>
      </c>
      <c r="Q365" t="s">
        <v>195</v>
      </c>
      <c r="R365" t="s">
        <v>649</v>
      </c>
      <c r="U365" t="s">
        <v>650</v>
      </c>
      <c r="W365" t="s">
        <v>651</v>
      </c>
      <c r="X365">
        <v>2020</v>
      </c>
      <c r="Y365" t="s">
        <v>657</v>
      </c>
      <c r="AA365" t="s">
        <v>796</v>
      </c>
      <c r="AB365">
        <v>5</v>
      </c>
      <c r="AC365">
        <v>5</v>
      </c>
      <c r="AD365">
        <v>5</v>
      </c>
    </row>
    <row r="366" spans="3:30" x14ac:dyDescent="0.2">
      <c r="C366" t="s">
        <v>658</v>
      </c>
      <c r="D366">
        <v>83</v>
      </c>
      <c r="E366" t="s">
        <v>176</v>
      </c>
      <c r="F366">
        <v>1200</v>
      </c>
      <c r="G366" t="s">
        <v>18</v>
      </c>
      <c r="H366" t="s">
        <v>95</v>
      </c>
      <c r="I366">
        <v>160</v>
      </c>
      <c r="J366" t="s">
        <v>20</v>
      </c>
      <c r="K366" t="s">
        <v>790</v>
      </c>
      <c r="P366" t="s">
        <v>659</v>
      </c>
      <c r="R366" t="s">
        <v>196</v>
      </c>
      <c r="S366" t="s">
        <v>660</v>
      </c>
      <c r="W366" t="s">
        <v>661</v>
      </c>
      <c r="X366">
        <v>2020</v>
      </c>
      <c r="Y366" t="s">
        <v>662</v>
      </c>
      <c r="AA366" t="s">
        <v>796</v>
      </c>
      <c r="AB366">
        <v>6</v>
      </c>
      <c r="AC366">
        <v>3</v>
      </c>
      <c r="AD366">
        <v>2</v>
      </c>
    </row>
    <row r="367" spans="3:30" x14ac:dyDescent="0.2">
      <c r="C367" t="s">
        <v>658</v>
      </c>
      <c r="D367">
        <v>83</v>
      </c>
      <c r="E367" t="s">
        <v>176</v>
      </c>
      <c r="F367">
        <v>1300</v>
      </c>
      <c r="G367" t="s">
        <v>18</v>
      </c>
      <c r="H367" t="s">
        <v>95</v>
      </c>
      <c r="I367">
        <v>160</v>
      </c>
      <c r="J367" t="s">
        <v>20</v>
      </c>
      <c r="K367" t="s">
        <v>790</v>
      </c>
      <c r="P367" t="s">
        <v>659</v>
      </c>
      <c r="R367" t="s">
        <v>196</v>
      </c>
      <c r="S367" t="s">
        <v>660</v>
      </c>
      <c r="W367" t="s">
        <v>661</v>
      </c>
      <c r="X367">
        <v>2020</v>
      </c>
      <c r="Y367" t="s">
        <v>663</v>
      </c>
      <c r="AA367" t="s">
        <v>796</v>
      </c>
      <c r="AB367">
        <v>6</v>
      </c>
      <c r="AC367">
        <v>3</v>
      </c>
      <c r="AD367">
        <v>2</v>
      </c>
    </row>
    <row r="368" spans="3:30" x14ac:dyDescent="0.2">
      <c r="C368" t="s">
        <v>658</v>
      </c>
      <c r="D368">
        <v>83</v>
      </c>
      <c r="E368" t="s">
        <v>176</v>
      </c>
      <c r="F368">
        <v>1400</v>
      </c>
      <c r="G368" t="s">
        <v>18</v>
      </c>
      <c r="H368" t="s">
        <v>95</v>
      </c>
      <c r="I368">
        <v>160</v>
      </c>
      <c r="J368" t="s">
        <v>20</v>
      </c>
      <c r="K368" t="s">
        <v>790</v>
      </c>
      <c r="P368" t="s">
        <v>659</v>
      </c>
      <c r="R368" t="s">
        <v>196</v>
      </c>
      <c r="S368" t="s">
        <v>660</v>
      </c>
      <c r="W368" t="s">
        <v>661</v>
      </c>
      <c r="X368">
        <v>2020</v>
      </c>
      <c r="Y368" t="s">
        <v>664</v>
      </c>
      <c r="AA368" t="s">
        <v>796</v>
      </c>
      <c r="AB368">
        <v>6</v>
      </c>
      <c r="AC368">
        <v>3</v>
      </c>
      <c r="AD368">
        <v>2</v>
      </c>
    </row>
    <row r="369" spans="3:30" x14ac:dyDescent="0.2">
      <c r="C369" t="s">
        <v>665</v>
      </c>
      <c r="D369">
        <v>84</v>
      </c>
      <c r="E369" t="s">
        <v>176</v>
      </c>
      <c r="F369">
        <v>700</v>
      </c>
      <c r="G369" t="s">
        <v>18</v>
      </c>
      <c r="H369" t="s">
        <v>95</v>
      </c>
      <c r="I369">
        <v>160</v>
      </c>
      <c r="J369" t="s">
        <v>20</v>
      </c>
      <c r="K369" t="s">
        <v>790</v>
      </c>
      <c r="P369" t="s">
        <v>666</v>
      </c>
      <c r="Q369" t="s">
        <v>667</v>
      </c>
      <c r="R369" t="s">
        <v>196</v>
      </c>
      <c r="S369" t="s">
        <v>668</v>
      </c>
      <c r="W369" t="s">
        <v>669</v>
      </c>
      <c r="X369">
        <v>2019</v>
      </c>
      <c r="Y369" t="s">
        <v>670</v>
      </c>
      <c r="AA369" t="s">
        <v>796</v>
      </c>
      <c r="AB369">
        <v>10</v>
      </c>
      <c r="AC369">
        <v>10</v>
      </c>
      <c r="AD369">
        <v>3</v>
      </c>
    </row>
    <row r="370" spans="3:30" x14ac:dyDescent="0.2">
      <c r="C370" t="s">
        <v>665</v>
      </c>
      <c r="D370">
        <v>84</v>
      </c>
      <c r="E370" t="s">
        <v>176</v>
      </c>
      <c r="F370">
        <v>800</v>
      </c>
      <c r="G370" t="s">
        <v>18</v>
      </c>
      <c r="H370" t="s">
        <v>95</v>
      </c>
      <c r="I370">
        <v>160</v>
      </c>
      <c r="J370" t="s">
        <v>20</v>
      </c>
      <c r="K370" t="s">
        <v>790</v>
      </c>
      <c r="P370" t="s">
        <v>666</v>
      </c>
      <c r="Q370" t="s">
        <v>667</v>
      </c>
      <c r="R370" t="s">
        <v>196</v>
      </c>
      <c r="S370" t="s">
        <v>668</v>
      </c>
      <c r="W370" t="s">
        <v>669</v>
      </c>
      <c r="X370">
        <v>2019</v>
      </c>
      <c r="Y370" t="s">
        <v>671</v>
      </c>
      <c r="AA370" t="s">
        <v>796</v>
      </c>
      <c r="AB370">
        <v>10</v>
      </c>
      <c r="AC370">
        <v>10</v>
      </c>
      <c r="AD370">
        <v>3</v>
      </c>
    </row>
    <row r="371" spans="3:30" x14ac:dyDescent="0.2">
      <c r="C371" t="s">
        <v>665</v>
      </c>
      <c r="D371">
        <v>84</v>
      </c>
      <c r="E371" t="s">
        <v>176</v>
      </c>
      <c r="F371">
        <v>900</v>
      </c>
      <c r="G371" t="s">
        <v>18</v>
      </c>
      <c r="H371" t="s">
        <v>95</v>
      </c>
      <c r="I371">
        <v>160</v>
      </c>
      <c r="J371" t="s">
        <v>20</v>
      </c>
      <c r="K371" t="s">
        <v>790</v>
      </c>
      <c r="P371" t="s">
        <v>672</v>
      </c>
      <c r="Q371" t="s">
        <v>667</v>
      </c>
      <c r="R371" t="s">
        <v>196</v>
      </c>
      <c r="S371" t="s">
        <v>668</v>
      </c>
      <c r="W371" t="s">
        <v>669</v>
      </c>
      <c r="X371">
        <v>2019</v>
      </c>
      <c r="Y371" t="s">
        <v>673</v>
      </c>
      <c r="AA371" t="s">
        <v>796</v>
      </c>
      <c r="AB371">
        <v>10</v>
      </c>
      <c r="AC371">
        <v>10</v>
      </c>
      <c r="AD371">
        <v>3</v>
      </c>
    </row>
    <row r="372" spans="3:30" x14ac:dyDescent="0.2">
      <c r="C372" t="s">
        <v>674</v>
      </c>
      <c r="D372">
        <v>84</v>
      </c>
      <c r="E372" t="s">
        <v>176</v>
      </c>
      <c r="F372">
        <v>700</v>
      </c>
      <c r="G372" t="s">
        <v>18</v>
      </c>
      <c r="H372" t="s">
        <v>95</v>
      </c>
      <c r="I372">
        <v>160</v>
      </c>
      <c r="J372" t="s">
        <v>20</v>
      </c>
      <c r="K372" t="s">
        <v>790</v>
      </c>
      <c r="O372">
        <v>70</v>
      </c>
      <c r="P372" t="s">
        <v>666</v>
      </c>
      <c r="Q372" t="s">
        <v>667</v>
      </c>
      <c r="R372" t="s">
        <v>196</v>
      </c>
      <c r="S372" t="s">
        <v>668</v>
      </c>
      <c r="W372" s="2" t="s">
        <v>669</v>
      </c>
      <c r="X372">
        <v>2019</v>
      </c>
      <c r="Y372" t="s">
        <v>675</v>
      </c>
      <c r="AA372" t="s">
        <v>796</v>
      </c>
      <c r="AB372">
        <v>10</v>
      </c>
      <c r="AC372">
        <v>10</v>
      </c>
      <c r="AD372">
        <v>3</v>
      </c>
    </row>
    <row r="373" spans="3:30" x14ac:dyDescent="0.2">
      <c r="C373" t="s">
        <v>674</v>
      </c>
      <c r="D373">
        <v>84</v>
      </c>
      <c r="E373" t="s">
        <v>176</v>
      </c>
      <c r="F373">
        <v>800</v>
      </c>
      <c r="G373" t="s">
        <v>18</v>
      </c>
      <c r="H373" t="s">
        <v>95</v>
      </c>
      <c r="I373">
        <v>160</v>
      </c>
      <c r="J373" t="s">
        <v>20</v>
      </c>
      <c r="K373" t="s">
        <v>790</v>
      </c>
      <c r="P373" t="s">
        <v>666</v>
      </c>
      <c r="Q373" t="s">
        <v>667</v>
      </c>
      <c r="R373" t="s">
        <v>196</v>
      </c>
      <c r="S373" t="s">
        <v>668</v>
      </c>
      <c r="W373" t="s">
        <v>669</v>
      </c>
      <c r="X373">
        <v>2019</v>
      </c>
      <c r="Y373" t="s">
        <v>676</v>
      </c>
      <c r="AA373" t="s">
        <v>796</v>
      </c>
      <c r="AB373">
        <v>10</v>
      </c>
      <c r="AC373">
        <v>10</v>
      </c>
      <c r="AD373">
        <v>3</v>
      </c>
    </row>
    <row r="374" spans="3:30" x14ac:dyDescent="0.2">
      <c r="C374" t="s">
        <v>674</v>
      </c>
      <c r="D374">
        <v>84</v>
      </c>
      <c r="E374" t="s">
        <v>176</v>
      </c>
      <c r="F374">
        <v>900</v>
      </c>
      <c r="G374" t="s">
        <v>18</v>
      </c>
      <c r="H374" t="s">
        <v>95</v>
      </c>
      <c r="I374">
        <v>160</v>
      </c>
      <c r="J374" t="s">
        <v>20</v>
      </c>
      <c r="K374" t="s">
        <v>790</v>
      </c>
      <c r="P374" t="s">
        <v>672</v>
      </c>
      <c r="Q374" t="s">
        <v>667</v>
      </c>
      <c r="R374" t="s">
        <v>196</v>
      </c>
      <c r="S374" t="s">
        <v>668</v>
      </c>
      <c r="W374" t="s">
        <v>669</v>
      </c>
      <c r="X374">
        <v>2019</v>
      </c>
      <c r="Y374" t="s">
        <v>677</v>
      </c>
      <c r="AA374" t="s">
        <v>796</v>
      </c>
      <c r="AB374">
        <v>10</v>
      </c>
      <c r="AC374">
        <v>10</v>
      </c>
      <c r="AD374">
        <v>3</v>
      </c>
    </row>
    <row r="375" spans="3:30" x14ac:dyDescent="0.2">
      <c r="C375" t="s">
        <v>678</v>
      </c>
      <c r="D375">
        <v>85</v>
      </c>
      <c r="E375" t="s">
        <v>176</v>
      </c>
      <c r="F375">
        <v>800</v>
      </c>
      <c r="G375" t="s">
        <v>18</v>
      </c>
      <c r="H375" t="s">
        <v>95</v>
      </c>
      <c r="I375">
        <v>160</v>
      </c>
      <c r="J375" t="s">
        <v>20</v>
      </c>
      <c r="K375" t="s">
        <v>790</v>
      </c>
      <c r="P375" t="s">
        <v>679</v>
      </c>
      <c r="Q375" t="s">
        <v>680</v>
      </c>
      <c r="R375" t="s">
        <v>196</v>
      </c>
      <c r="S375" t="s">
        <v>668</v>
      </c>
      <c r="T375" t="s">
        <v>598</v>
      </c>
      <c r="W375" t="s">
        <v>681</v>
      </c>
      <c r="X375">
        <v>2018</v>
      </c>
      <c r="Y375" t="s">
        <v>682</v>
      </c>
      <c r="AA375" t="s">
        <v>796</v>
      </c>
      <c r="AB375">
        <v>10</v>
      </c>
      <c r="AC375">
        <v>10</v>
      </c>
      <c r="AD375">
        <v>5</v>
      </c>
    </row>
    <row r="376" spans="3:30" x14ac:dyDescent="0.2">
      <c r="C376" t="s">
        <v>678</v>
      </c>
      <c r="D376">
        <v>85</v>
      </c>
      <c r="E376" t="s">
        <v>176</v>
      </c>
      <c r="F376">
        <v>900</v>
      </c>
      <c r="G376" t="s">
        <v>18</v>
      </c>
      <c r="H376" t="s">
        <v>95</v>
      </c>
      <c r="I376">
        <v>160</v>
      </c>
      <c r="J376" t="s">
        <v>20</v>
      </c>
      <c r="K376" t="s">
        <v>790</v>
      </c>
      <c r="P376" t="s">
        <v>679</v>
      </c>
      <c r="Q376" t="s">
        <v>680</v>
      </c>
      <c r="R376" t="s">
        <v>196</v>
      </c>
      <c r="S376" t="s">
        <v>668</v>
      </c>
      <c r="T376" t="s">
        <v>598</v>
      </c>
      <c r="W376" t="s">
        <v>681</v>
      </c>
      <c r="X376">
        <v>2018</v>
      </c>
      <c r="Y376" t="s">
        <v>683</v>
      </c>
      <c r="AA376" t="s">
        <v>796</v>
      </c>
      <c r="AB376">
        <v>10</v>
      </c>
      <c r="AC376">
        <v>10</v>
      </c>
      <c r="AD376">
        <v>5</v>
      </c>
    </row>
    <row r="377" spans="3:30" x14ac:dyDescent="0.2">
      <c r="C377" t="s">
        <v>678</v>
      </c>
      <c r="D377">
        <v>85</v>
      </c>
      <c r="E377" t="s">
        <v>176</v>
      </c>
      <c r="F377">
        <v>1000</v>
      </c>
      <c r="G377" t="s">
        <v>18</v>
      </c>
      <c r="H377" t="s">
        <v>95</v>
      </c>
      <c r="I377">
        <v>160</v>
      </c>
      <c r="J377" t="s">
        <v>20</v>
      </c>
      <c r="K377" t="s">
        <v>790</v>
      </c>
      <c r="N377">
        <v>30</v>
      </c>
      <c r="P377" t="s">
        <v>679</v>
      </c>
      <c r="Q377" t="s">
        <v>680</v>
      </c>
      <c r="R377" t="s">
        <v>196</v>
      </c>
      <c r="S377" t="s">
        <v>668</v>
      </c>
      <c r="T377" t="s">
        <v>598</v>
      </c>
      <c r="W377" s="2" t="s">
        <v>681</v>
      </c>
      <c r="X377">
        <v>2018</v>
      </c>
      <c r="Y377" t="s">
        <v>684</v>
      </c>
      <c r="AA377" t="s">
        <v>796</v>
      </c>
      <c r="AB377">
        <v>10</v>
      </c>
      <c r="AC377">
        <v>10</v>
      </c>
      <c r="AD377">
        <v>5</v>
      </c>
    </row>
    <row r="378" spans="3:30" x14ac:dyDescent="0.2">
      <c r="C378" t="s">
        <v>685</v>
      </c>
      <c r="D378">
        <v>85</v>
      </c>
      <c r="E378" t="s">
        <v>176</v>
      </c>
      <c r="F378">
        <v>800</v>
      </c>
      <c r="G378" t="s">
        <v>18</v>
      </c>
      <c r="H378" t="s">
        <v>95</v>
      </c>
      <c r="I378">
        <v>160</v>
      </c>
      <c r="J378" t="s">
        <v>20</v>
      </c>
      <c r="K378" t="s">
        <v>790</v>
      </c>
      <c r="N378">
        <v>2</v>
      </c>
      <c r="P378" t="s">
        <v>679</v>
      </c>
      <c r="Q378" t="s">
        <v>680</v>
      </c>
      <c r="R378" t="s">
        <v>196</v>
      </c>
      <c r="S378" t="s">
        <v>668</v>
      </c>
      <c r="T378" t="s">
        <v>598</v>
      </c>
      <c r="W378" t="s">
        <v>681</v>
      </c>
      <c r="X378">
        <v>2018</v>
      </c>
      <c r="Y378" t="s">
        <v>686</v>
      </c>
      <c r="AA378" t="s">
        <v>796</v>
      </c>
      <c r="AB378">
        <v>10</v>
      </c>
      <c r="AC378">
        <v>10</v>
      </c>
      <c r="AD378">
        <v>5</v>
      </c>
    </row>
    <row r="379" spans="3:30" x14ac:dyDescent="0.2">
      <c r="C379" t="s">
        <v>685</v>
      </c>
      <c r="D379">
        <v>85</v>
      </c>
      <c r="E379" t="s">
        <v>176</v>
      </c>
      <c r="F379">
        <v>900</v>
      </c>
      <c r="G379" t="s">
        <v>18</v>
      </c>
      <c r="H379" t="s">
        <v>95</v>
      </c>
      <c r="I379">
        <v>160</v>
      </c>
      <c r="J379" t="s">
        <v>20</v>
      </c>
      <c r="K379" t="s">
        <v>790</v>
      </c>
      <c r="P379" t="s">
        <v>679</v>
      </c>
      <c r="Q379" t="s">
        <v>680</v>
      </c>
      <c r="R379" t="s">
        <v>196</v>
      </c>
      <c r="S379" t="s">
        <v>668</v>
      </c>
      <c r="T379" t="s">
        <v>598</v>
      </c>
      <c r="W379" s="2" t="s">
        <v>681</v>
      </c>
      <c r="X379">
        <v>2018</v>
      </c>
      <c r="Y379" t="s">
        <v>687</v>
      </c>
      <c r="AA379" t="s">
        <v>796</v>
      </c>
      <c r="AB379">
        <v>10</v>
      </c>
      <c r="AC379">
        <v>10</v>
      </c>
      <c r="AD379">
        <v>5</v>
      </c>
    </row>
    <row r="380" spans="3:30" x14ac:dyDescent="0.2">
      <c r="C380" t="s">
        <v>685</v>
      </c>
      <c r="D380">
        <v>85</v>
      </c>
      <c r="E380" t="s">
        <v>176</v>
      </c>
      <c r="F380">
        <v>1000</v>
      </c>
      <c r="G380" t="s">
        <v>18</v>
      </c>
      <c r="H380" t="s">
        <v>95</v>
      </c>
      <c r="I380">
        <v>160</v>
      </c>
      <c r="J380" t="s">
        <v>20</v>
      </c>
      <c r="K380" t="s">
        <v>790</v>
      </c>
      <c r="N380" t="s">
        <v>688</v>
      </c>
      <c r="O380">
        <v>100</v>
      </c>
      <c r="P380" t="s">
        <v>679</v>
      </c>
      <c r="Q380" t="s">
        <v>680</v>
      </c>
      <c r="R380" t="s">
        <v>196</v>
      </c>
      <c r="S380" t="s">
        <v>668</v>
      </c>
      <c r="T380" t="s">
        <v>598</v>
      </c>
      <c r="W380" t="s">
        <v>681</v>
      </c>
      <c r="X380">
        <v>2018</v>
      </c>
      <c r="Y380" t="s">
        <v>689</v>
      </c>
      <c r="AA380" t="s">
        <v>796</v>
      </c>
      <c r="AB380">
        <v>10</v>
      </c>
      <c r="AC380">
        <v>10</v>
      </c>
      <c r="AD380">
        <v>5</v>
      </c>
    </row>
    <row r="381" spans="3:30" x14ac:dyDescent="0.2">
      <c r="C381" t="s">
        <v>690</v>
      </c>
      <c r="D381">
        <v>87</v>
      </c>
      <c r="E381" t="s">
        <v>176</v>
      </c>
      <c r="F381">
        <v>900</v>
      </c>
      <c r="G381" t="s">
        <v>18</v>
      </c>
      <c r="H381" t="s">
        <v>95</v>
      </c>
      <c r="I381">
        <v>160</v>
      </c>
      <c r="J381" t="s">
        <v>20</v>
      </c>
      <c r="K381" t="s">
        <v>790</v>
      </c>
      <c r="P381" t="s">
        <v>691</v>
      </c>
      <c r="R381" t="s">
        <v>21</v>
      </c>
      <c r="S381" t="s">
        <v>692</v>
      </c>
      <c r="T381" t="s">
        <v>607</v>
      </c>
      <c r="W381" t="s">
        <v>693</v>
      </c>
      <c r="X381">
        <v>2019</v>
      </c>
      <c r="Y381" t="s">
        <v>694</v>
      </c>
      <c r="AA381" t="s">
        <v>797</v>
      </c>
      <c r="AB381">
        <v>10</v>
      </c>
      <c r="AC381">
        <v>10</v>
      </c>
      <c r="AD381">
        <v>2</v>
      </c>
    </row>
    <row r="382" spans="3:30" x14ac:dyDescent="0.2">
      <c r="C382" t="s">
        <v>695</v>
      </c>
      <c r="D382">
        <v>87</v>
      </c>
      <c r="E382" t="s">
        <v>176</v>
      </c>
      <c r="F382">
        <v>900</v>
      </c>
      <c r="G382" t="s">
        <v>18</v>
      </c>
      <c r="H382" t="s">
        <v>95</v>
      </c>
      <c r="I382">
        <v>160</v>
      </c>
      <c r="J382" t="s">
        <v>20</v>
      </c>
      <c r="K382" t="s">
        <v>790</v>
      </c>
      <c r="P382" t="s">
        <v>691</v>
      </c>
      <c r="R382" t="s">
        <v>21</v>
      </c>
      <c r="S382" t="s">
        <v>692</v>
      </c>
      <c r="T382" t="s">
        <v>607</v>
      </c>
      <c r="W382" s="2" t="s">
        <v>693</v>
      </c>
      <c r="X382">
        <v>2019</v>
      </c>
      <c r="Y382" t="s">
        <v>696</v>
      </c>
      <c r="AA382" t="s">
        <v>797</v>
      </c>
      <c r="AB382">
        <v>10</v>
      </c>
      <c r="AC382">
        <v>10</v>
      </c>
      <c r="AD382">
        <v>2</v>
      </c>
    </row>
    <row r="383" spans="3:30" x14ac:dyDescent="0.2">
      <c r="C383" t="s">
        <v>697</v>
      </c>
      <c r="D383">
        <v>87</v>
      </c>
      <c r="E383" t="s">
        <v>176</v>
      </c>
      <c r="F383">
        <v>900</v>
      </c>
      <c r="G383" t="s">
        <v>18</v>
      </c>
      <c r="H383" t="s">
        <v>95</v>
      </c>
      <c r="I383">
        <v>160</v>
      </c>
      <c r="J383" t="s">
        <v>20</v>
      </c>
      <c r="K383" t="s">
        <v>790</v>
      </c>
      <c r="P383" t="s">
        <v>698</v>
      </c>
      <c r="R383" t="s">
        <v>21</v>
      </c>
      <c r="S383" t="s">
        <v>692</v>
      </c>
      <c r="T383" t="s">
        <v>607</v>
      </c>
      <c r="W383" t="s">
        <v>693</v>
      </c>
      <c r="X383">
        <v>2019</v>
      </c>
      <c r="Y383" t="s">
        <v>699</v>
      </c>
      <c r="AA383" t="s">
        <v>797</v>
      </c>
      <c r="AB383">
        <v>10</v>
      </c>
      <c r="AC383">
        <v>10</v>
      </c>
      <c r="AD383">
        <v>2</v>
      </c>
    </row>
    <row r="384" spans="3:30" x14ac:dyDescent="0.2">
      <c r="C384" t="s">
        <v>700</v>
      </c>
      <c r="D384">
        <v>87</v>
      </c>
      <c r="E384" t="s">
        <v>176</v>
      </c>
      <c r="F384">
        <v>900</v>
      </c>
      <c r="G384" t="s">
        <v>18</v>
      </c>
      <c r="H384" t="s">
        <v>95</v>
      </c>
      <c r="I384">
        <v>160</v>
      </c>
      <c r="J384" t="s">
        <v>20</v>
      </c>
      <c r="K384" t="s">
        <v>790</v>
      </c>
      <c r="P384" t="s">
        <v>691</v>
      </c>
      <c r="R384" t="s">
        <v>21</v>
      </c>
      <c r="S384" t="s">
        <v>692</v>
      </c>
      <c r="T384" t="s">
        <v>607</v>
      </c>
      <c r="W384" t="s">
        <v>693</v>
      </c>
      <c r="X384">
        <v>2019</v>
      </c>
      <c r="Y384" t="s">
        <v>701</v>
      </c>
      <c r="AA384" t="s">
        <v>797</v>
      </c>
      <c r="AB384">
        <v>10</v>
      </c>
      <c r="AC384">
        <v>10</v>
      </c>
      <c r="AD384">
        <v>2</v>
      </c>
    </row>
    <row r="385" spans="3:30" x14ac:dyDescent="0.2">
      <c r="C385" t="s">
        <v>702</v>
      </c>
      <c r="D385">
        <v>88</v>
      </c>
      <c r="E385" t="s">
        <v>176</v>
      </c>
      <c r="F385">
        <v>1000</v>
      </c>
      <c r="G385" t="s">
        <v>18</v>
      </c>
      <c r="H385" t="s">
        <v>95</v>
      </c>
      <c r="I385">
        <v>160</v>
      </c>
      <c r="J385" t="s">
        <v>20</v>
      </c>
      <c r="K385" t="s">
        <v>790</v>
      </c>
      <c r="L385">
        <v>9.41</v>
      </c>
      <c r="O385">
        <v>10</v>
      </c>
      <c r="P385" t="s">
        <v>703</v>
      </c>
      <c r="Q385" t="s">
        <v>185</v>
      </c>
      <c r="R385" t="s">
        <v>21</v>
      </c>
      <c r="S385" t="s">
        <v>704</v>
      </c>
      <c r="T385" t="s">
        <v>705</v>
      </c>
      <c r="W385" t="s">
        <v>706</v>
      </c>
      <c r="X385">
        <v>2021</v>
      </c>
      <c r="Y385" t="s">
        <v>775</v>
      </c>
      <c r="AA385" t="s">
        <v>796</v>
      </c>
      <c r="AB385">
        <v>4.5</v>
      </c>
      <c r="AC385">
        <v>4.5</v>
      </c>
      <c r="AD385">
        <v>2</v>
      </c>
    </row>
    <row r="386" spans="3:30" x14ac:dyDescent="0.2">
      <c r="C386" t="s">
        <v>707</v>
      </c>
      <c r="D386">
        <v>88</v>
      </c>
      <c r="E386" t="s">
        <v>176</v>
      </c>
      <c r="F386">
        <v>1000</v>
      </c>
      <c r="G386" t="s">
        <v>18</v>
      </c>
      <c r="H386" t="s">
        <v>95</v>
      </c>
      <c r="I386">
        <v>160</v>
      </c>
      <c r="J386" t="s">
        <v>20</v>
      </c>
      <c r="K386" t="s">
        <v>790</v>
      </c>
      <c r="L386">
        <v>6.47</v>
      </c>
      <c r="O386">
        <v>6.5</v>
      </c>
      <c r="P386" t="s">
        <v>708</v>
      </c>
      <c r="Q386" t="s">
        <v>185</v>
      </c>
      <c r="R386" t="s">
        <v>21</v>
      </c>
      <c r="S386" t="s">
        <v>704</v>
      </c>
      <c r="T386" t="s">
        <v>705</v>
      </c>
      <c r="W386" t="s">
        <v>706</v>
      </c>
      <c r="X386">
        <v>2021</v>
      </c>
      <c r="Y386" t="s">
        <v>776</v>
      </c>
      <c r="AA386" t="s">
        <v>796</v>
      </c>
      <c r="AB386">
        <v>4.5</v>
      </c>
      <c r="AC386">
        <v>4.5</v>
      </c>
      <c r="AD386">
        <v>2</v>
      </c>
    </row>
    <row r="387" spans="3:30" x14ac:dyDescent="0.2">
      <c r="C387" t="s">
        <v>709</v>
      </c>
      <c r="D387">
        <v>88</v>
      </c>
      <c r="E387" t="s">
        <v>176</v>
      </c>
      <c r="F387">
        <v>1000</v>
      </c>
      <c r="G387" t="s">
        <v>18</v>
      </c>
      <c r="H387" t="s">
        <v>95</v>
      </c>
      <c r="I387">
        <v>160</v>
      </c>
      <c r="J387" t="s">
        <v>20</v>
      </c>
      <c r="K387" t="s">
        <v>790</v>
      </c>
      <c r="L387">
        <v>11.16</v>
      </c>
      <c r="O387">
        <v>11</v>
      </c>
      <c r="P387" t="s">
        <v>710</v>
      </c>
      <c r="Q387" t="s">
        <v>185</v>
      </c>
      <c r="R387" t="s">
        <v>21</v>
      </c>
      <c r="S387" t="s">
        <v>704</v>
      </c>
      <c r="T387" t="s">
        <v>705</v>
      </c>
      <c r="W387" t="s">
        <v>706</v>
      </c>
      <c r="X387">
        <v>2021</v>
      </c>
      <c r="Y387" t="s">
        <v>777</v>
      </c>
      <c r="AA387" t="s">
        <v>796</v>
      </c>
      <c r="AB387">
        <v>4.5</v>
      </c>
      <c r="AC387">
        <v>4.5</v>
      </c>
      <c r="AD387">
        <v>2</v>
      </c>
    </row>
    <row r="388" spans="3:30" x14ac:dyDescent="0.2">
      <c r="C388" t="s">
        <v>711</v>
      </c>
      <c r="D388">
        <v>89</v>
      </c>
      <c r="E388" t="s">
        <v>176</v>
      </c>
      <c r="F388">
        <v>900</v>
      </c>
      <c r="G388" t="s">
        <v>18</v>
      </c>
      <c r="H388" t="s">
        <v>95</v>
      </c>
      <c r="I388">
        <v>160</v>
      </c>
      <c r="J388" t="s">
        <v>20</v>
      </c>
      <c r="K388" t="s">
        <v>790</v>
      </c>
      <c r="P388" t="s">
        <v>712</v>
      </c>
      <c r="Q388" t="s">
        <v>195</v>
      </c>
      <c r="R388" t="s">
        <v>21</v>
      </c>
      <c r="S388" t="s">
        <v>704</v>
      </c>
      <c r="T388" t="s">
        <v>713</v>
      </c>
      <c r="W388" t="s">
        <v>714</v>
      </c>
      <c r="X388">
        <v>2022</v>
      </c>
      <c r="Y388" t="s">
        <v>778</v>
      </c>
      <c r="AA388" t="s">
        <v>796</v>
      </c>
      <c r="AB388">
        <v>4.5</v>
      </c>
      <c r="AC388">
        <v>4.5</v>
      </c>
      <c r="AD388">
        <v>2.5</v>
      </c>
    </row>
    <row r="389" spans="3:30" x14ac:dyDescent="0.2">
      <c r="C389" t="s">
        <v>715</v>
      </c>
      <c r="D389">
        <v>89</v>
      </c>
      <c r="E389" t="s">
        <v>176</v>
      </c>
      <c r="F389">
        <v>900</v>
      </c>
      <c r="G389" t="s">
        <v>18</v>
      </c>
      <c r="H389" t="s">
        <v>95</v>
      </c>
      <c r="I389">
        <v>160</v>
      </c>
      <c r="J389" t="s">
        <v>20</v>
      </c>
      <c r="K389" t="s">
        <v>790</v>
      </c>
      <c r="P389" t="s">
        <v>712</v>
      </c>
      <c r="Q389" t="s">
        <v>195</v>
      </c>
      <c r="R389" t="s">
        <v>21</v>
      </c>
      <c r="S389" t="s">
        <v>704</v>
      </c>
      <c r="T389" t="s">
        <v>713</v>
      </c>
      <c r="W389" t="s">
        <v>714</v>
      </c>
      <c r="X389">
        <v>2022</v>
      </c>
      <c r="Y389" t="s">
        <v>779</v>
      </c>
      <c r="AA389" t="s">
        <v>796</v>
      </c>
      <c r="AB389">
        <v>4.5</v>
      </c>
      <c r="AC389">
        <v>4.5</v>
      </c>
      <c r="AD389">
        <v>2.5</v>
      </c>
    </row>
    <row r="390" spans="3:30" x14ac:dyDescent="0.2">
      <c r="C390" t="s">
        <v>716</v>
      </c>
      <c r="D390">
        <v>89</v>
      </c>
      <c r="E390" t="s">
        <v>176</v>
      </c>
      <c r="F390">
        <v>900</v>
      </c>
      <c r="G390" t="s">
        <v>18</v>
      </c>
      <c r="H390" t="s">
        <v>95</v>
      </c>
      <c r="I390">
        <v>160</v>
      </c>
      <c r="J390" t="s">
        <v>20</v>
      </c>
      <c r="K390" t="s">
        <v>790</v>
      </c>
      <c r="P390" t="s">
        <v>712</v>
      </c>
      <c r="Q390" t="s">
        <v>195</v>
      </c>
      <c r="R390" t="s">
        <v>21</v>
      </c>
      <c r="S390" t="s">
        <v>704</v>
      </c>
      <c r="T390" t="s">
        <v>713</v>
      </c>
      <c r="W390" t="s">
        <v>714</v>
      </c>
      <c r="X390">
        <v>2022</v>
      </c>
      <c r="Y390" t="s">
        <v>780</v>
      </c>
      <c r="AA390" t="s">
        <v>796</v>
      </c>
      <c r="AB390">
        <v>4.5</v>
      </c>
      <c r="AC390">
        <v>4.5</v>
      </c>
      <c r="AD390">
        <v>2.5</v>
      </c>
    </row>
    <row r="391" spans="3:30" x14ac:dyDescent="0.2">
      <c r="C391" t="s">
        <v>711</v>
      </c>
      <c r="D391">
        <v>89</v>
      </c>
      <c r="E391" t="s">
        <v>176</v>
      </c>
      <c r="F391">
        <v>1000</v>
      </c>
      <c r="G391" t="s">
        <v>18</v>
      </c>
      <c r="H391" t="s">
        <v>95</v>
      </c>
      <c r="I391">
        <v>160</v>
      </c>
      <c r="J391" t="s">
        <v>20</v>
      </c>
      <c r="K391" t="s">
        <v>790</v>
      </c>
      <c r="P391" t="s">
        <v>712</v>
      </c>
      <c r="Q391" t="s">
        <v>195</v>
      </c>
      <c r="R391" t="s">
        <v>21</v>
      </c>
      <c r="S391" t="s">
        <v>704</v>
      </c>
      <c r="T391" t="s">
        <v>713</v>
      </c>
      <c r="W391" t="s">
        <v>714</v>
      </c>
      <c r="X391">
        <v>2022</v>
      </c>
      <c r="Y391" t="s">
        <v>717</v>
      </c>
      <c r="AA391" t="s">
        <v>796</v>
      </c>
      <c r="AB391">
        <v>4.5</v>
      </c>
      <c r="AC391">
        <v>4.5</v>
      </c>
      <c r="AD391">
        <v>2.5</v>
      </c>
    </row>
    <row r="392" spans="3:30" x14ac:dyDescent="0.2">
      <c r="C392" t="s">
        <v>715</v>
      </c>
      <c r="D392">
        <v>89</v>
      </c>
      <c r="E392" t="s">
        <v>176</v>
      </c>
      <c r="F392">
        <v>1000</v>
      </c>
      <c r="G392" t="s">
        <v>18</v>
      </c>
      <c r="H392" t="s">
        <v>95</v>
      </c>
      <c r="I392">
        <v>160</v>
      </c>
      <c r="J392" t="s">
        <v>20</v>
      </c>
      <c r="K392" t="s">
        <v>790</v>
      </c>
      <c r="P392" t="s">
        <v>712</v>
      </c>
      <c r="Q392" t="s">
        <v>195</v>
      </c>
      <c r="R392" t="s">
        <v>21</v>
      </c>
      <c r="S392" t="s">
        <v>704</v>
      </c>
      <c r="T392" t="s">
        <v>713</v>
      </c>
      <c r="W392" t="s">
        <v>714</v>
      </c>
      <c r="X392">
        <v>2022</v>
      </c>
      <c r="Y392" t="s">
        <v>718</v>
      </c>
      <c r="AA392" t="s">
        <v>796</v>
      </c>
      <c r="AB392">
        <v>4.5</v>
      </c>
      <c r="AC392">
        <v>4.5</v>
      </c>
      <c r="AD392">
        <v>2.5</v>
      </c>
    </row>
    <row r="393" spans="3:30" x14ac:dyDescent="0.2">
      <c r="C393" t="s">
        <v>716</v>
      </c>
      <c r="D393">
        <v>89</v>
      </c>
      <c r="E393" t="s">
        <v>176</v>
      </c>
      <c r="F393">
        <v>1000</v>
      </c>
      <c r="G393" t="s">
        <v>18</v>
      </c>
      <c r="H393" t="s">
        <v>95</v>
      </c>
      <c r="I393">
        <v>160</v>
      </c>
      <c r="J393" t="s">
        <v>20</v>
      </c>
      <c r="K393" t="s">
        <v>790</v>
      </c>
      <c r="P393" t="s">
        <v>712</v>
      </c>
      <c r="Q393" t="s">
        <v>195</v>
      </c>
      <c r="R393" t="s">
        <v>21</v>
      </c>
      <c r="S393" t="s">
        <v>704</v>
      </c>
      <c r="T393" t="s">
        <v>713</v>
      </c>
      <c r="W393" t="s">
        <v>714</v>
      </c>
      <c r="X393">
        <v>2022</v>
      </c>
      <c r="Y393" t="s">
        <v>719</v>
      </c>
      <c r="AA393" t="s">
        <v>796</v>
      </c>
      <c r="AB393">
        <v>4.5</v>
      </c>
      <c r="AC393">
        <v>4.5</v>
      </c>
      <c r="AD393">
        <v>2.5</v>
      </c>
    </row>
    <row r="394" spans="3:30" x14ac:dyDescent="0.2">
      <c r="C394" t="s">
        <v>720</v>
      </c>
      <c r="D394">
        <v>90</v>
      </c>
      <c r="E394" t="s">
        <v>176</v>
      </c>
      <c r="F394">
        <v>500</v>
      </c>
      <c r="G394" t="s">
        <v>721</v>
      </c>
      <c r="H394" t="s">
        <v>95</v>
      </c>
      <c r="I394">
        <v>160</v>
      </c>
      <c r="J394" t="s">
        <v>20</v>
      </c>
      <c r="K394" t="s">
        <v>790</v>
      </c>
      <c r="P394" t="s">
        <v>722</v>
      </c>
      <c r="R394" t="s">
        <v>196</v>
      </c>
      <c r="S394" t="s">
        <v>723</v>
      </c>
      <c r="W394" t="s">
        <v>724</v>
      </c>
      <c r="X394">
        <v>2022</v>
      </c>
      <c r="Y394" t="s">
        <v>725</v>
      </c>
      <c r="AA394" t="s">
        <v>796</v>
      </c>
      <c r="AB394">
        <v>10</v>
      </c>
      <c r="AC394">
        <v>5</v>
      </c>
      <c r="AD394">
        <v>5</v>
      </c>
    </row>
    <row r="395" spans="3:30" x14ac:dyDescent="0.2">
      <c r="C395" t="s">
        <v>720</v>
      </c>
      <c r="D395">
        <v>90</v>
      </c>
      <c r="E395" t="s">
        <v>176</v>
      </c>
      <c r="F395">
        <v>800</v>
      </c>
      <c r="G395" t="s">
        <v>721</v>
      </c>
      <c r="H395" t="s">
        <v>95</v>
      </c>
      <c r="I395">
        <v>160</v>
      </c>
      <c r="J395" t="s">
        <v>20</v>
      </c>
      <c r="K395" t="s">
        <v>790</v>
      </c>
      <c r="R395" t="s">
        <v>196</v>
      </c>
      <c r="S395" t="s">
        <v>723</v>
      </c>
      <c r="W395" t="s">
        <v>724</v>
      </c>
      <c r="X395">
        <v>2022</v>
      </c>
      <c r="Y395" t="s">
        <v>726</v>
      </c>
      <c r="AA395" t="s">
        <v>796</v>
      </c>
      <c r="AB395">
        <v>10</v>
      </c>
      <c r="AC395">
        <v>5</v>
      </c>
      <c r="AD395">
        <v>5</v>
      </c>
    </row>
    <row r="396" spans="3:30" x14ac:dyDescent="0.2">
      <c r="C396" t="s">
        <v>727</v>
      </c>
      <c r="D396">
        <v>90</v>
      </c>
      <c r="E396" t="s">
        <v>176</v>
      </c>
      <c r="F396">
        <v>500</v>
      </c>
      <c r="G396" t="s">
        <v>721</v>
      </c>
      <c r="H396" t="s">
        <v>95</v>
      </c>
      <c r="I396">
        <v>160</v>
      </c>
      <c r="J396" t="s">
        <v>20</v>
      </c>
      <c r="K396" t="s">
        <v>790</v>
      </c>
      <c r="R396" t="s">
        <v>196</v>
      </c>
      <c r="S396" t="s">
        <v>723</v>
      </c>
      <c r="W396" t="s">
        <v>724</v>
      </c>
      <c r="X396">
        <v>2022</v>
      </c>
      <c r="Y396" t="s">
        <v>728</v>
      </c>
      <c r="AA396" t="s">
        <v>796</v>
      </c>
      <c r="AB396">
        <v>10</v>
      </c>
      <c r="AC396">
        <v>5</v>
      </c>
      <c r="AD396">
        <v>5</v>
      </c>
    </row>
    <row r="397" spans="3:30" x14ac:dyDescent="0.2">
      <c r="C397" t="s">
        <v>727</v>
      </c>
      <c r="D397">
        <v>90</v>
      </c>
      <c r="E397" t="s">
        <v>176</v>
      </c>
      <c r="F397">
        <v>800</v>
      </c>
      <c r="G397" t="s">
        <v>721</v>
      </c>
      <c r="H397" t="s">
        <v>95</v>
      </c>
      <c r="I397">
        <v>160</v>
      </c>
      <c r="J397" t="s">
        <v>20</v>
      </c>
      <c r="K397" t="s">
        <v>790</v>
      </c>
      <c r="R397" t="s">
        <v>196</v>
      </c>
      <c r="S397" t="s">
        <v>723</v>
      </c>
      <c r="W397" t="s">
        <v>724</v>
      </c>
      <c r="X397">
        <v>2022</v>
      </c>
      <c r="Y397" t="s">
        <v>729</v>
      </c>
      <c r="AA397" t="s">
        <v>796</v>
      </c>
      <c r="AB397">
        <v>10</v>
      </c>
      <c r="AC397">
        <v>5</v>
      </c>
      <c r="AD397">
        <v>5</v>
      </c>
    </row>
    <row r="398" spans="3:30" x14ac:dyDescent="0.2">
      <c r="C398" t="s">
        <v>730</v>
      </c>
      <c r="D398">
        <v>91</v>
      </c>
      <c r="E398" t="s">
        <v>176</v>
      </c>
      <c r="F398">
        <v>900</v>
      </c>
      <c r="G398" t="s">
        <v>18</v>
      </c>
      <c r="H398" t="s">
        <v>95</v>
      </c>
      <c r="I398">
        <v>160</v>
      </c>
      <c r="J398" t="s">
        <v>20</v>
      </c>
      <c r="K398" t="s">
        <v>790</v>
      </c>
      <c r="P398" t="s">
        <v>731</v>
      </c>
      <c r="Q398" t="s">
        <v>195</v>
      </c>
      <c r="R398" t="s">
        <v>21</v>
      </c>
      <c r="S398" t="s">
        <v>732</v>
      </c>
      <c r="T398" t="s">
        <v>733</v>
      </c>
      <c r="U398" t="s">
        <v>734</v>
      </c>
      <c r="W398" t="s">
        <v>735</v>
      </c>
      <c r="X398">
        <v>2022</v>
      </c>
      <c r="Y398" t="s">
        <v>736</v>
      </c>
      <c r="AA398" t="s">
        <v>797</v>
      </c>
      <c r="AB398">
        <v>15</v>
      </c>
      <c r="AC398">
        <v>15</v>
      </c>
      <c r="AD398">
        <v>15</v>
      </c>
    </row>
    <row r="399" spans="3:30" x14ac:dyDescent="0.2">
      <c r="C399" t="s">
        <v>737</v>
      </c>
      <c r="D399">
        <v>91</v>
      </c>
      <c r="E399" t="s">
        <v>176</v>
      </c>
      <c r="F399">
        <v>900</v>
      </c>
      <c r="G399" t="s">
        <v>18</v>
      </c>
      <c r="H399" t="s">
        <v>95</v>
      </c>
      <c r="I399">
        <v>160</v>
      </c>
      <c r="J399" t="s">
        <v>20</v>
      </c>
      <c r="K399" t="s">
        <v>790</v>
      </c>
      <c r="P399" t="s">
        <v>738</v>
      </c>
      <c r="Q399" t="s">
        <v>195</v>
      </c>
      <c r="R399" t="s">
        <v>21</v>
      </c>
      <c r="S399" t="s">
        <v>732</v>
      </c>
      <c r="T399" t="s">
        <v>733</v>
      </c>
      <c r="U399" t="s">
        <v>734</v>
      </c>
      <c r="W399" t="s">
        <v>735</v>
      </c>
      <c r="X399">
        <v>2022</v>
      </c>
      <c r="Y399" t="s">
        <v>739</v>
      </c>
      <c r="AA399" t="s">
        <v>797</v>
      </c>
      <c r="AB399">
        <v>15</v>
      </c>
      <c r="AC399">
        <v>15</v>
      </c>
      <c r="AD399">
        <v>15</v>
      </c>
    </row>
    <row r="400" spans="3:30" x14ac:dyDescent="0.2">
      <c r="C400" t="s">
        <v>740</v>
      </c>
      <c r="D400">
        <v>92</v>
      </c>
      <c r="E400" t="s">
        <v>176</v>
      </c>
      <c r="F400">
        <v>1000</v>
      </c>
      <c r="G400" t="s">
        <v>18</v>
      </c>
      <c r="H400" t="s">
        <v>37</v>
      </c>
      <c r="I400">
        <v>160</v>
      </c>
      <c r="J400" t="s">
        <v>20</v>
      </c>
      <c r="K400" t="s">
        <v>790</v>
      </c>
      <c r="P400" t="s">
        <v>741</v>
      </c>
      <c r="R400" t="s">
        <v>21</v>
      </c>
      <c r="S400" t="s">
        <v>742</v>
      </c>
      <c r="T400" t="s">
        <v>713</v>
      </c>
      <c r="U400" t="s">
        <v>743</v>
      </c>
      <c r="W400" t="s">
        <v>744</v>
      </c>
      <c r="X400">
        <v>2022</v>
      </c>
      <c r="Y400" t="s">
        <v>745</v>
      </c>
      <c r="AA400" t="s">
        <v>796</v>
      </c>
      <c r="AB400">
        <v>3</v>
      </c>
      <c r="AC400">
        <v>3</v>
      </c>
      <c r="AD400">
        <v>2</v>
      </c>
    </row>
    <row r="401" spans="3:30" x14ac:dyDescent="0.2">
      <c r="C401" t="s">
        <v>746</v>
      </c>
      <c r="D401">
        <v>92</v>
      </c>
      <c r="E401" t="s">
        <v>176</v>
      </c>
      <c r="F401">
        <v>1000</v>
      </c>
      <c r="G401" t="s">
        <v>18</v>
      </c>
      <c r="H401" t="s">
        <v>37</v>
      </c>
      <c r="I401">
        <v>160</v>
      </c>
      <c r="J401" t="s">
        <v>20</v>
      </c>
      <c r="K401" t="s">
        <v>790</v>
      </c>
      <c r="P401" t="s">
        <v>747</v>
      </c>
      <c r="R401" t="s">
        <v>21</v>
      </c>
      <c r="S401" t="s">
        <v>742</v>
      </c>
      <c r="T401" t="s">
        <v>713</v>
      </c>
      <c r="U401" t="s">
        <v>743</v>
      </c>
      <c r="W401" t="s">
        <v>744</v>
      </c>
      <c r="X401">
        <v>2022</v>
      </c>
      <c r="Y401" t="s">
        <v>748</v>
      </c>
      <c r="AA401" t="s">
        <v>796</v>
      </c>
      <c r="AB401">
        <v>3</v>
      </c>
      <c r="AC401">
        <v>3</v>
      </c>
      <c r="AD401">
        <v>2</v>
      </c>
    </row>
    <row r="402" spans="3:30" x14ac:dyDescent="0.2">
      <c r="C402" t="s">
        <v>749</v>
      </c>
      <c r="D402">
        <v>92</v>
      </c>
      <c r="E402" t="s">
        <v>176</v>
      </c>
      <c r="F402">
        <v>1000</v>
      </c>
      <c r="G402" t="s">
        <v>18</v>
      </c>
      <c r="H402" t="s">
        <v>37</v>
      </c>
      <c r="I402">
        <v>160</v>
      </c>
      <c r="J402" t="s">
        <v>20</v>
      </c>
      <c r="K402" t="s">
        <v>790</v>
      </c>
      <c r="P402" t="s">
        <v>750</v>
      </c>
      <c r="R402" t="s">
        <v>21</v>
      </c>
      <c r="S402" t="s">
        <v>742</v>
      </c>
      <c r="T402" t="s">
        <v>713</v>
      </c>
      <c r="U402" t="s">
        <v>743</v>
      </c>
      <c r="W402" t="s">
        <v>744</v>
      </c>
      <c r="X402">
        <v>2022</v>
      </c>
      <c r="Y402" t="s">
        <v>751</v>
      </c>
      <c r="AA402" t="s">
        <v>796</v>
      </c>
      <c r="AB402">
        <v>3</v>
      </c>
      <c r="AC402">
        <v>3</v>
      </c>
      <c r="AD402">
        <v>2</v>
      </c>
    </row>
    <row r="403" spans="3:30" x14ac:dyDescent="0.2">
      <c r="C403" t="s">
        <v>752</v>
      </c>
      <c r="D403">
        <v>93</v>
      </c>
      <c r="E403" t="s">
        <v>17</v>
      </c>
      <c r="F403">
        <v>900</v>
      </c>
      <c r="G403" t="s">
        <v>18</v>
      </c>
      <c r="H403" t="s">
        <v>95</v>
      </c>
      <c r="I403">
        <v>160</v>
      </c>
      <c r="J403" t="s">
        <v>20</v>
      </c>
      <c r="K403" t="s">
        <v>790</v>
      </c>
      <c r="P403" t="s">
        <v>753</v>
      </c>
      <c r="R403" t="s">
        <v>196</v>
      </c>
      <c r="S403" t="s">
        <v>754</v>
      </c>
      <c r="T403" t="s">
        <v>713</v>
      </c>
      <c r="U403" t="s">
        <v>755</v>
      </c>
      <c r="W403" t="s">
        <v>756</v>
      </c>
      <c r="X403">
        <v>2022</v>
      </c>
      <c r="Y403" t="s">
        <v>757</v>
      </c>
      <c r="AA403" t="s">
        <v>797</v>
      </c>
      <c r="AB403">
        <v>4</v>
      </c>
      <c r="AC403">
        <v>4</v>
      </c>
      <c r="AD403">
        <v>40</v>
      </c>
    </row>
    <row r="404" spans="3:30" x14ac:dyDescent="0.2">
      <c r="C404" t="s">
        <v>758</v>
      </c>
      <c r="D404">
        <v>93</v>
      </c>
      <c r="E404" t="s">
        <v>17</v>
      </c>
      <c r="F404">
        <v>900</v>
      </c>
      <c r="G404" t="s">
        <v>18</v>
      </c>
      <c r="H404" t="s">
        <v>95</v>
      </c>
      <c r="I404">
        <v>160</v>
      </c>
      <c r="J404" t="s">
        <v>20</v>
      </c>
      <c r="K404" t="s">
        <v>790</v>
      </c>
      <c r="P404" t="s">
        <v>759</v>
      </c>
      <c r="R404" t="s">
        <v>196</v>
      </c>
      <c r="S404" t="s">
        <v>754</v>
      </c>
      <c r="T404" t="s">
        <v>713</v>
      </c>
      <c r="U404" t="s">
        <v>755</v>
      </c>
      <c r="W404" t="s">
        <v>756</v>
      </c>
      <c r="X404">
        <v>2022</v>
      </c>
      <c r="Y404" t="s">
        <v>760</v>
      </c>
      <c r="AA404" t="s">
        <v>797</v>
      </c>
      <c r="AB404">
        <v>4</v>
      </c>
      <c r="AC404">
        <v>4</v>
      </c>
      <c r="AD404">
        <v>40</v>
      </c>
    </row>
    <row r="405" spans="3:30" x14ac:dyDescent="0.2">
      <c r="C405" t="s">
        <v>761</v>
      </c>
      <c r="D405">
        <v>93</v>
      </c>
      <c r="E405" t="s">
        <v>17</v>
      </c>
      <c r="F405">
        <v>900</v>
      </c>
      <c r="G405" t="s">
        <v>18</v>
      </c>
      <c r="H405" t="s">
        <v>95</v>
      </c>
      <c r="I405">
        <v>160</v>
      </c>
      <c r="J405" t="s">
        <v>20</v>
      </c>
      <c r="K405" t="s">
        <v>790</v>
      </c>
      <c r="P405" t="s">
        <v>762</v>
      </c>
      <c r="R405" t="s">
        <v>196</v>
      </c>
      <c r="S405" t="s">
        <v>754</v>
      </c>
      <c r="T405" t="s">
        <v>713</v>
      </c>
      <c r="U405" t="s">
        <v>755</v>
      </c>
      <c r="W405" t="s">
        <v>756</v>
      </c>
      <c r="X405">
        <v>2022</v>
      </c>
      <c r="Y405" t="s">
        <v>763</v>
      </c>
      <c r="AA405" t="s">
        <v>797</v>
      </c>
      <c r="AB405">
        <v>4</v>
      </c>
      <c r="AC405">
        <v>4</v>
      </c>
      <c r="AD405">
        <v>40</v>
      </c>
    </row>
    <row r="406" spans="3:30" x14ac:dyDescent="0.2">
      <c r="C406" t="s">
        <v>764</v>
      </c>
      <c r="D406">
        <v>93</v>
      </c>
      <c r="E406" t="s">
        <v>17</v>
      </c>
      <c r="F406">
        <v>900</v>
      </c>
      <c r="G406" t="s">
        <v>18</v>
      </c>
      <c r="H406" t="s">
        <v>95</v>
      </c>
      <c r="I406">
        <v>160</v>
      </c>
      <c r="J406" t="s">
        <v>20</v>
      </c>
      <c r="K406" t="s">
        <v>790</v>
      </c>
      <c r="P406" t="s">
        <v>765</v>
      </c>
      <c r="R406" t="s">
        <v>196</v>
      </c>
      <c r="S406" t="s">
        <v>754</v>
      </c>
      <c r="T406" t="s">
        <v>713</v>
      </c>
      <c r="U406" t="s">
        <v>755</v>
      </c>
      <c r="W406" t="s">
        <v>756</v>
      </c>
      <c r="X406">
        <v>2022</v>
      </c>
      <c r="Y406" t="s">
        <v>766</v>
      </c>
      <c r="AA406" t="s">
        <v>797</v>
      </c>
      <c r="AB406">
        <v>4</v>
      </c>
      <c r="AC406">
        <v>4</v>
      </c>
      <c r="AD406">
        <v>40</v>
      </c>
    </row>
    <row r="407" spans="3:30" x14ac:dyDescent="0.2">
      <c r="C407" t="s">
        <v>767</v>
      </c>
      <c r="D407">
        <v>93</v>
      </c>
      <c r="E407" t="s">
        <v>17</v>
      </c>
      <c r="F407">
        <v>900</v>
      </c>
      <c r="G407" t="s">
        <v>18</v>
      </c>
      <c r="H407" t="s">
        <v>95</v>
      </c>
      <c r="I407">
        <v>160</v>
      </c>
      <c r="J407" t="s">
        <v>20</v>
      </c>
      <c r="K407" t="s">
        <v>790</v>
      </c>
      <c r="P407" t="s">
        <v>768</v>
      </c>
      <c r="R407" t="s">
        <v>196</v>
      </c>
      <c r="S407" t="s">
        <v>754</v>
      </c>
      <c r="T407" t="s">
        <v>713</v>
      </c>
      <c r="U407" t="s">
        <v>755</v>
      </c>
      <c r="W407" t="s">
        <v>756</v>
      </c>
      <c r="X407">
        <v>2022</v>
      </c>
      <c r="Y407" t="s">
        <v>769</v>
      </c>
      <c r="AA407" t="s">
        <v>797</v>
      </c>
      <c r="AB407">
        <v>4</v>
      </c>
      <c r="AC407">
        <v>4</v>
      </c>
      <c r="AD407">
        <v>40</v>
      </c>
    </row>
    <row r="408" spans="3:30" x14ac:dyDescent="0.2">
      <c r="C408" t="s">
        <v>770</v>
      </c>
      <c r="D408">
        <v>93</v>
      </c>
      <c r="E408" t="s">
        <v>17</v>
      </c>
      <c r="F408">
        <v>900</v>
      </c>
      <c r="G408" t="s">
        <v>18</v>
      </c>
      <c r="H408" t="s">
        <v>95</v>
      </c>
      <c r="I408">
        <v>160</v>
      </c>
      <c r="J408" t="s">
        <v>20</v>
      </c>
      <c r="K408" t="s">
        <v>790</v>
      </c>
      <c r="P408" t="s">
        <v>771</v>
      </c>
      <c r="R408" t="s">
        <v>196</v>
      </c>
      <c r="S408" t="s">
        <v>754</v>
      </c>
      <c r="T408" t="s">
        <v>713</v>
      </c>
      <c r="U408" t="s">
        <v>755</v>
      </c>
      <c r="W408" t="s">
        <v>756</v>
      </c>
      <c r="X408">
        <v>2022</v>
      </c>
      <c r="Y408" t="s">
        <v>772</v>
      </c>
      <c r="AA408" t="s">
        <v>797</v>
      </c>
      <c r="AB408">
        <v>4</v>
      </c>
      <c r="AC408">
        <v>4</v>
      </c>
      <c r="AD408">
        <v>40</v>
      </c>
    </row>
  </sheetData>
  <hyperlinks>
    <hyperlink ref="W349" r:id="rId1" xr:uid="{DFBFD8A9-6658-4518-A69B-58E13433B31D}"/>
    <hyperlink ref="W382" r:id="rId2" xr:uid="{EE7535C4-26D9-445D-A029-91C7E6ADEECB}"/>
    <hyperlink ref="W379" r:id="rId3" xr:uid="{B808ADDF-A879-4E9E-BD3E-0B2744D13AD5}"/>
    <hyperlink ref="W372" r:id="rId4" xr:uid="{C7B294CB-B349-40E2-940D-13015E030D95}"/>
    <hyperlink ref="W354" r:id="rId5" xr:uid="{A350AA83-ACCB-496A-A9AA-AE1A52DA2F06}"/>
    <hyperlink ref="W355" r:id="rId6" xr:uid="{2B31C341-59C6-4585-AF82-4962099009FF}"/>
    <hyperlink ref="W346" r:id="rId7" xr:uid="{DBD10D9A-0477-457B-9311-BB9A0EC434EF}"/>
    <hyperlink ref="W342" r:id="rId8" xr:uid="{1CFB9648-4209-426F-BA0D-182EE9315062}"/>
    <hyperlink ref="W340" r:id="rId9" xr:uid="{B3CEE740-DBD8-4BC3-B1CC-96542250D27C}"/>
    <hyperlink ref="W338" r:id="rId10" xr:uid="{7BC478E3-000C-46C8-B0F3-EFA936C1D8F7}"/>
    <hyperlink ref="W377" r:id="rId11" xr:uid="{A046B73F-130D-4AC3-8712-3BD4F49EDEC2}"/>
    <hyperlink ref="W359" r:id="rId12" xr:uid="{9C7D8562-09C8-4675-AEA1-8CFC6AD20F7F}"/>
    <hyperlink ref="W356" r:id="rId13" xr:uid="{F7870A85-FACB-429A-B4A5-6729A5B7A1B8}"/>
    <hyperlink ref="W347" r:id="rId14" xr:uid="{AB124D8A-F3A6-4465-A3C6-CFB6720498E7}"/>
    <hyperlink ref="W337" r:id="rId15" xr:uid="{BA427071-C6FD-4043-8839-0B272454AEDE}"/>
    <hyperlink ref="W334" r:id="rId16" xr:uid="{D67DFA86-1A25-4E79-8969-93E3B71CF1C0}"/>
    <hyperlink ref="W332" r:id="rId17" xr:uid="{AA885AE3-11A3-4B00-90D9-7C8BE10CA82A}"/>
    <hyperlink ref="W314" r:id="rId18" xr:uid="{156EE2B1-FB5E-4009-B5E2-4B8340F7E2BC}"/>
    <hyperlink ref="W287" r:id="rId19" xr:uid="{25974FBB-5E6A-42C7-AEB4-82F23F9F0BAE}"/>
    <hyperlink ref="W271" r:id="rId20" xr:uid="{A4FF6A82-4E98-45DE-BA69-EA8E1BC5CED4}"/>
    <hyperlink ref="W244" r:id="rId21" xr:uid="{F50C12C0-5F24-4FD8-BA15-BA9E8AF0DA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Microsoft Office User</cp:lastModifiedBy>
  <cp:revision/>
  <dcterms:created xsi:type="dcterms:W3CDTF">2022-04-26T17:47:33Z</dcterms:created>
  <dcterms:modified xsi:type="dcterms:W3CDTF">2022-10-31T05:38:47Z</dcterms:modified>
  <cp:category/>
  <cp:contentStatus/>
</cp:coreProperties>
</file>